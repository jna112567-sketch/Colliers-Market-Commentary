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colliers-my.sharepoint.com/personal/jordan_na_colliers_com/Documents/CIK - CIHK Share Folder (202501)/Colliers-Market-Commentary/"/>
    </mc:Choice>
  </mc:AlternateContent>
  <xr:revisionPtr revIDLastSave="175" documentId="11_A11F6B378A97B22DB5C7EAEDB2691358909FFC20" xr6:coauthVersionLast="47" xr6:coauthVersionMax="47" xr10:uidLastSave="{0A1BF228-E182-4210-BAD2-53ADEECD9E62}"/>
  <bookViews>
    <workbookView xWindow="-28920" yWindow="-120" windowWidth="29040" windowHeight="15720" firstSheet="1" activeTab="9" xr2:uid="{00000000-000D-0000-FFFF-FFFF00000000}"/>
  </bookViews>
  <sheets>
    <sheet name="Brainstorm" sheetId="11" r:id="rId1"/>
    <sheet name="historical_supply" sheetId="10" r:id="rId2"/>
    <sheet name="existing_supply" sheetId="2" r:id="rId3"/>
    <sheet name="future_supply" sheetId="3" r:id="rId4"/>
    <sheet name="vacancy" sheetId="4" r:id="rId5"/>
    <sheet name="net_absorption" sheetId="5" r:id="rId6"/>
    <sheet name="rent" sheetId="6" r:id="rId7"/>
    <sheet name="capital_value" sheetId="7" r:id="rId8"/>
    <sheet name="cap_rate" sheetId="8" r:id="rId9"/>
    <sheet name="capital_markets" sheetId="9" r:id="rId10"/>
  </sheets>
  <externalReferences>
    <externalReference r:id="rId11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8" l="1"/>
  <c r="C3" i="8"/>
  <c r="D3" i="8"/>
  <c r="E3" i="8"/>
  <c r="B4" i="8"/>
  <c r="C4" i="8"/>
  <c r="D4" i="8"/>
  <c r="E4" i="8"/>
  <c r="B5" i="8"/>
  <c r="C5" i="8"/>
  <c r="D5" i="8"/>
  <c r="E5" i="8"/>
  <c r="B6" i="8"/>
  <c r="C6" i="8"/>
  <c r="D6" i="8"/>
  <c r="E6" i="8"/>
  <c r="B7" i="8"/>
  <c r="C7" i="8"/>
  <c r="D7" i="8"/>
  <c r="E7" i="8"/>
  <c r="B8" i="8"/>
  <c r="C8" i="8"/>
  <c r="D8" i="8"/>
  <c r="E8" i="8"/>
  <c r="B9" i="8"/>
  <c r="C9" i="8"/>
  <c r="D9" i="8"/>
  <c r="E9" i="8"/>
  <c r="B10" i="8"/>
  <c r="C10" i="8"/>
  <c r="D10" i="8"/>
  <c r="E10" i="8"/>
  <c r="B11" i="8"/>
  <c r="C11" i="8"/>
  <c r="D11" i="8"/>
  <c r="E11" i="8"/>
  <c r="B12" i="8"/>
  <c r="C12" i="8"/>
  <c r="D12" i="8"/>
  <c r="E12" i="8"/>
  <c r="B13" i="8"/>
  <c r="C13" i="8"/>
  <c r="D13" i="8"/>
  <c r="E13" i="8"/>
  <c r="E2" i="8"/>
  <c r="D2" i="8"/>
  <c r="C2" i="8"/>
  <c r="B2" i="8"/>
  <c r="E3" i="7"/>
  <c r="E4" i="7"/>
  <c r="E5" i="7"/>
  <c r="E6" i="7"/>
  <c r="E7" i="7"/>
  <c r="E8" i="7"/>
  <c r="E9" i="7"/>
  <c r="E10" i="7"/>
  <c r="E11" i="7"/>
  <c r="E12" i="7"/>
  <c r="E13" i="7"/>
  <c r="E2" i="7"/>
  <c r="C3" i="7"/>
  <c r="C4" i="7"/>
  <c r="C5" i="7"/>
  <c r="C6" i="7"/>
  <c r="C7" i="7"/>
  <c r="C8" i="7"/>
  <c r="C9" i="7"/>
  <c r="C10" i="7"/>
  <c r="C11" i="7"/>
  <c r="C12" i="7"/>
  <c r="C13" i="7"/>
  <c r="D3" i="7"/>
  <c r="D4" i="7"/>
  <c r="D5" i="7"/>
  <c r="D6" i="7"/>
  <c r="D7" i="7"/>
  <c r="D8" i="7"/>
  <c r="D9" i="7"/>
  <c r="D10" i="7"/>
  <c r="D11" i="7"/>
  <c r="D12" i="7"/>
  <c r="D13" i="7"/>
  <c r="D2" i="7"/>
  <c r="C2" i="7"/>
  <c r="B2" i="7"/>
  <c r="B3" i="7"/>
  <c r="B4" i="7"/>
  <c r="B5" i="7"/>
  <c r="B6" i="7"/>
  <c r="B7" i="7"/>
  <c r="B8" i="7"/>
  <c r="B9" i="7"/>
  <c r="B10" i="7"/>
  <c r="B11" i="7"/>
  <c r="B12" i="7"/>
  <c r="B13" i="7"/>
  <c r="J2" i="9" a="1"/>
  <c r="J2" i="9" s="1"/>
  <c r="I2" i="9" a="1"/>
  <c r="I2" i="9" s="1"/>
  <c r="H2" i="9" a="1"/>
  <c r="H2" i="9" s="1"/>
  <c r="G2" i="9" a="1"/>
  <c r="G2" i="9" s="1"/>
  <c r="F2" i="9" a="1"/>
  <c r="F2" i="9" s="1"/>
  <c r="A2" i="9" a="1"/>
  <c r="A2" i="9" s="1"/>
  <c r="B2" i="9" a="1"/>
  <c r="B2" i="9" s="1"/>
  <c r="C2" i="9" a="1"/>
  <c r="C2" i="9" s="1"/>
  <c r="E2" i="9" a="1"/>
  <c r="E2" i="9" s="1"/>
  <c r="D2" i="9" a="1"/>
  <c r="D2" i="9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<sst xmlns="http://schemas.openxmlformats.org/spreadsheetml/2006/main" count="605" uniqueCount="325">
  <si>
    <t>1Q 2025</t>
  </si>
  <si>
    <t>2Q 2025</t>
  </si>
  <si>
    <t>3Q 2025</t>
  </si>
  <si>
    <t>4Q 2025</t>
  </si>
  <si>
    <t>CBD</t>
  </si>
  <si>
    <t>GBD</t>
  </si>
  <si>
    <t>YBD</t>
  </si>
  <si>
    <t>Overall</t>
  </si>
  <si>
    <t>1,223,517.96</t>
  </si>
  <si>
    <t>931,242.62</t>
  </si>
  <si>
    <t>653,773.89</t>
  </si>
  <si>
    <t>2,808,534.47</t>
  </si>
  <si>
    <t>Year</t>
  </si>
  <si>
    <t>Quarter</t>
  </si>
  <si>
    <t>Status</t>
  </si>
  <si>
    <t>ProposedProject</t>
  </si>
  <si>
    <t>Location</t>
  </si>
  <si>
    <t>Submarket</t>
  </si>
  <si>
    <t>EstimatedGFAinPyeong</t>
  </si>
  <si>
    <t>Developer</t>
  </si>
  <si>
    <t>2024</t>
  </si>
  <si>
    <t>1Q</t>
  </si>
  <si>
    <t>Completed</t>
  </si>
  <si>
    <t>TP Tower</t>
  </si>
  <si>
    <t>Yeoido</t>
  </si>
  <si>
    <t>42,861.52</t>
  </si>
  <si>
    <t>Samsung
  C&amp;T</t>
  </si>
  <si>
    <t>2Q</t>
  </si>
  <si>
    <t>Meritz Bongrae</t>
  </si>
  <si>
    <t>Bongrae</t>
  </si>
  <si>
    <t>12,746.89</t>
  </si>
  <si>
    <t>Doosan Construction</t>
  </si>
  <si>
    <t>4Q</t>
  </si>
  <si>
    <t>Centrepoint Gangnam</t>
  </si>
  <si>
    <t>Gangnam</t>
  </si>
  <si>
    <t>8,181.40</t>
  </si>
  <si>
    <t>Mastern</t>
  </si>
  <si>
    <t>2025</t>
  </si>
  <si>
    <t>Jung-gu Cho-dong (Project 107)</t>
  </si>
  <si>
    <t>Junggu</t>
  </si>
  <si>
    <t>0.00</t>
  </si>
  <si>
    <t>MPLUS AMC</t>
  </si>
  <si>
    <t>Baekam Building (OPUS 
  459)</t>
  </si>
  <si>
    <t>Seocho</t>
  </si>
  <si>
    <t>8,182.93</t>
  </si>
  <si>
    <t>Taeyoung Group</t>
  </si>
  <si>
    <t>KT Gwanghwamun Bld (WEST)</t>
  </si>
  <si>
    <t>20,253.75</t>
  </si>
  <si>
    <t>Gunwon Engineering</t>
  </si>
  <si>
    <t>2026</t>
  </si>
  <si>
    <t>3Q</t>
  </si>
  <si>
    <t>U/C</t>
  </si>
  <si>
    <t>Gongpyeong
  District 15, 16</t>
  </si>
  <si>
    <t>Jongro-gu</t>
  </si>
  <si>
    <t>35,096.05</t>
  </si>
  <si>
    <t>Hyundai
  Engineering</t>
  </si>
  <si>
    <t>Euljiro Central Office 3ga 12 District</t>
  </si>
  <si>
    <t>Jung-gu</t>
  </si>
  <si>
    <t>12,700.16</t>
  </si>
  <si>
    <t>Eastern Development</t>
  </si>
  <si>
    <t>Supyo City Environment Renovation Office Development Project</t>
  </si>
  <si>
    <t>32,035.00</t>
  </si>
  <si>
    <t>n.a.</t>
  </si>
  <si>
    <t xml:space="preserve">The 3rd Seoul City Hall </t>
  </si>
  <si>
    <t>9,974.00</t>
  </si>
  <si>
    <t>Seoul Metropolitan Government</t>
  </si>
  <si>
    <t>2027</t>
  </si>
  <si>
    <t>B/C</t>
  </si>
  <si>
    <t>Eulji Finance
  Center (Euljiro 3ga 1, 2 District)</t>
  </si>
  <si>
    <t>19,659.17</t>
  </si>
  <si>
    <t>Euljiro 3ga 6 District</t>
  </si>
  <si>
    <t>15,759.51</t>
  </si>
  <si>
    <t>Euljiro 3ga 12 District</t>
  </si>
  <si>
    <t>13,583.00</t>
  </si>
  <si>
    <t>Euljiro 75 PFV</t>
  </si>
  <si>
    <t>Euljiro 3ga 10 District</t>
  </si>
  <si>
    <t>9,459.15</t>
  </si>
  <si>
    <t>Mugyo-Dadong District 31 (Burim Building)</t>
  </si>
  <si>
    <t>9,098.00</t>
  </si>
  <si>
    <t>Bongrae-dong 1ga (3 District) &amp; Namdaemunro 5ga Development
  Project</t>
  </si>
  <si>
    <t>19,139.00</t>
  </si>
  <si>
    <t>SK D&amp;D</t>
  </si>
  <si>
    <t>2028</t>
  </si>
  <si>
    <t>KDIC Seocho
  Development Project</t>
  </si>
  <si>
    <t>Seocho-gu</t>
  </si>
  <si>
    <t>105,875.00</t>
  </si>
  <si>
    <t>MDM, Shinhan,
  IGIS</t>
  </si>
  <si>
    <t>Kiwoom Finance Square Redevelopment</t>
  </si>
  <si>
    <t>Yeongdeungpo-gu</t>
  </si>
  <si>
    <t>14,796.65</t>
  </si>
  <si>
    <t>Kiwoom</t>
  </si>
  <si>
    <t>Sewoon 3-8, 9, 10 Development</t>
  </si>
  <si>
    <t>65,456.93</t>
  </si>
  <si>
    <t>Myeongdong Area District 1 (Yuanta Securities Building)</t>
  </si>
  <si>
    <t>13,770.46</t>
  </si>
  <si>
    <t>Seosomun 10 District</t>
  </si>
  <si>
    <t>10,168.24</t>
  </si>
  <si>
    <t>JB Group</t>
  </si>
  <si>
    <t>Seosomun 11, 12 District</t>
  </si>
  <si>
    <t>30,822.94</t>
  </si>
  <si>
    <t>Civic Center PFV</t>
  </si>
  <si>
    <t>Euljiro 3-ga District 9</t>
  </si>
  <si>
    <t>8,372.00</t>
  </si>
  <si>
    <t>Yeoksam-dong Aster Site</t>
  </si>
  <si>
    <t>Gangnam-gu</t>
  </si>
  <si>
    <t>9,373.27</t>
  </si>
  <si>
    <t>KT Estate, Lasalle</t>
  </si>
  <si>
    <t>Meritz Fire &amp; Marine Insurance Yeouido Headquarters</t>
  </si>
  <si>
    <t>10,579.03</t>
  </si>
  <si>
    <t>Shinyoung</t>
  </si>
  <si>
    <t>Seoul Station Seodaemun 1 District</t>
  </si>
  <si>
    <t>49,095.99</t>
  </si>
  <si>
    <t>Samsung</t>
  </si>
  <si>
    <t>2029</t>
  </si>
  <si>
    <t>Millenium
  Hilton Hotel Development Project</t>
  </si>
  <si>
    <t>80,000.00</t>
  </si>
  <si>
    <t>IGIS (YD427)</t>
  </si>
  <si>
    <t>North Seoul Station Bongraedong 2ga Development Project</t>
  </si>
  <si>
    <t>55,417.09</t>
  </si>
  <si>
    <t>Hanhwa</t>
  </si>
  <si>
    <t>Metro Tower + Seoulro Tower Development Project</t>
  </si>
  <si>
    <t>39,001.21</t>
  </si>
  <si>
    <t>IGIS (YD816)</t>
  </si>
  <si>
    <t>Sewoon District 4</t>
  </si>
  <si>
    <t>94,531.25</t>
  </si>
  <si>
    <t>Seoul Housing (SH)</t>
  </si>
  <si>
    <t>Sewoon 6-3-3 Development</t>
  </si>
  <si>
    <t>26,189.00</t>
  </si>
  <si>
    <t>Hanho Construction (Dblock Group)</t>
  </si>
  <si>
    <t>Sewoon
  6-4-22, 23 Development</t>
  </si>
  <si>
    <t>22,959.75</t>
  </si>
  <si>
    <t>2030</t>
  </si>
  <si>
    <t>Sewoon
  District 5-1·3 (Daeshin)</t>
  </si>
  <si>
    <t>40,528.35</t>
  </si>
  <si>
    <t>IGIS ( Sewoon
  5 PFV)</t>
  </si>
  <si>
    <t>Gangnam Le
  Méridien Site Mixed-Use</t>
  </si>
  <si>
    <t>40,282.41</t>
  </si>
  <si>
    <t>Mastern
  No.116 Gangnam Premier Project Finance Investment</t>
  </si>
  <si>
    <t>2031</t>
  </si>
  <si>
    <t>Shinhan
  Financial Tower Headquarters</t>
  </si>
  <si>
    <t>Jongno-gu</t>
  </si>
  <si>
    <t>52,192.14</t>
  </si>
  <si>
    <t xml:space="preserve"> </t>
  </si>
  <si>
    <t>Gongpyeong
  District 3 (Former Hana Tour Headquarters)</t>
  </si>
  <si>
    <t>Myeong-dong
  District 2</t>
  </si>
  <si>
    <t>14,301.81</t>
  </si>
  <si>
    <t>HMG Global
  Business Center</t>
  </si>
  <si>
    <t>280,988.175</t>
  </si>
  <si>
    <t>Hyundai
  Motors Group</t>
  </si>
  <si>
    <t>Mirae Asset
  Securities Building (Woori Financial Group)</t>
  </si>
  <si>
    <t>24,897.57</t>
  </si>
  <si>
    <t>DDIVC (NPS:
  98%)</t>
  </si>
  <si>
    <t>2032</t>
  </si>
  <si>
    <t>Korea Fire
  Insurance Association Redevelopment</t>
  </si>
  <si>
    <t>25,000.00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</si>
  <si>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</si>
  <si>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</si>
  <si>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</si>
  <si>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</si>
  <si>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</si>
  <si>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</si>
  <si>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</si>
  <si>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</si>
  <si>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</si>
  <si>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</si>
  <si>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</si>
  <si>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</si>
  <si>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</si>
  <si>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</si>
  <si>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</si>
  <si>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</si>
  <si>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</si>
  <si>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</si>
  <si>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</si>
  <si>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</si>
  <si>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</si>
  <si>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</si>
  <si>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</si>
  <si>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</si>
  <si>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</si>
  <si>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</si>
  <si>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</si>
  <si>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</si>
  <si>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6,009.47</t>
  </si>
  <si>
    <t>3,074.31</t>
  </si>
  <si>
    <t>15,470.15</t>
  </si>
  <si>
    <t>24,553.93</t>
  </si>
  <si>
    <t>-2,695.88</t>
  </si>
  <si>
    <t>978.29</t>
  </si>
  <si>
    <t>10,922.07</t>
  </si>
  <si>
    <t>9,204.47</t>
  </si>
  <si>
    <t>34,631.11</t>
  </si>
  <si>
    <t>9,578.36</t>
  </si>
  <si>
    <t>6,069.06</t>
  </si>
  <si>
    <t>50,278.53</t>
  </si>
  <si>
    <t>28,560.84</t>
  </si>
  <si>
    <t>-6,048.49</t>
  </si>
  <si>
    <t>-14,949.25</t>
  </si>
  <si>
    <t>7,563.11</t>
  </si>
  <si>
    <t>9,336.97</t>
  </si>
  <si>
    <t>-5,615.01</t>
  </si>
  <si>
    <t>-2,520.43</t>
  </si>
  <si>
    <t>1,201.53</t>
  </si>
  <si>
    <t>-2,073.64</t>
  </si>
  <si>
    <t>14,779.24</t>
  </si>
  <si>
    <t>-391.13</t>
  </si>
  <si>
    <t>12,314.47</t>
  </si>
  <si>
    <t>13,196.87</t>
  </si>
  <si>
    <t>-939.87</t>
  </si>
  <si>
    <t>2,953.31</t>
  </si>
  <si>
    <t>15,210.31</t>
  </si>
  <si>
    <t>-12,157.17</t>
  </si>
  <si>
    <t>22,898.65</t>
  </si>
  <si>
    <t>7,393.71</t>
  </si>
  <si>
    <t>18,135.18</t>
  </si>
  <si>
    <t>14,941.08</t>
  </si>
  <si>
    <t>14,426.83</t>
  </si>
  <si>
    <t>8,688.71</t>
  </si>
  <si>
    <t>38,056.62</t>
  </si>
  <si>
    <t>-2,948.77</t>
  </si>
  <si>
    <t>9,498.20</t>
  </si>
  <si>
    <t>10,456.82</t>
  </si>
  <si>
    <t>17,006.25</t>
  </si>
  <si>
    <t>17,849.62</t>
  </si>
  <si>
    <t>8,153.28</t>
  </si>
  <si>
    <t>17,204.69</t>
  </si>
  <si>
    <t>43,207.59</t>
  </si>
  <si>
    <t>12,120.57</t>
  </si>
  <si>
    <t>20,698.87</t>
  </si>
  <si>
    <t>19,696.38</t>
  </si>
  <si>
    <t>52,515.82</t>
  </si>
  <si>
    <t>29,342.50</t>
  </si>
  <si>
    <t>29,367.91</t>
  </si>
  <si>
    <t>5,099.24</t>
  </si>
  <si>
    <t>63,809.65</t>
  </si>
  <si>
    <t>18,692.99</t>
  </si>
  <si>
    <t>7,245.78</t>
  </si>
  <si>
    <t>-4,809.45</t>
  </si>
  <si>
    <t>21,129.32</t>
  </si>
  <si>
    <t>21,272.10</t>
  </si>
  <si>
    <t>2,474.15</t>
  </si>
  <si>
    <t>2,113.27</t>
  </si>
  <si>
    <t>25,859.52</t>
  </si>
  <si>
    <t>12,731.32</t>
  </si>
  <si>
    <t>2,804.78</t>
  </si>
  <si>
    <t>548.13</t>
  </si>
  <si>
    <t>16,084.23</t>
  </si>
  <si>
    <t>-6,491.00</t>
  </si>
  <si>
    <t>-16,550.00</t>
  </si>
  <si>
    <t>8,605.00</t>
  </si>
  <si>
    <t>-14,436.00</t>
  </si>
  <si>
    <t>-19,078.00</t>
  </si>
  <si>
    <t>2,219.00</t>
  </si>
  <si>
    <t>37,929.00</t>
  </si>
  <si>
    <t>21,070.00</t>
  </si>
  <si>
    <t>36,783.00</t>
  </si>
  <si>
    <t>7,524.00</t>
  </si>
  <si>
    <t>1,385.00</t>
  </si>
  <si>
    <t>45,692.00</t>
  </si>
  <si>
    <t>-4,427.00</t>
  </si>
  <si>
    <t>-333.00</t>
  </si>
  <si>
    <t>-8,530.00</t>
  </si>
  <si>
    <t>-13,290.00</t>
  </si>
  <si>
    <t>-7,720.00</t>
  </si>
  <si>
    <t>5,674.00</t>
  </si>
  <si>
    <t>-10,361.00</t>
  </si>
  <si>
    <t>-12,407.00</t>
  </si>
  <si>
    <t>-12,628.00</t>
  </si>
  <si>
    <t>-9,659.00</t>
  </si>
  <si>
    <t>-9,839.00</t>
  </si>
  <si>
    <t>-32,126.00</t>
  </si>
  <si>
    <t>-11,421.00</t>
  </si>
  <si>
    <t>-7,669.00</t>
  </si>
  <si>
    <t>-17,066.00</t>
  </si>
  <si>
    <t>-36,156.00</t>
  </si>
  <si>
    <t>3,740.00</t>
  </si>
  <si>
    <t>8,571.00</t>
  </si>
  <si>
    <t>9,169.00</t>
  </si>
  <si>
    <t>21,480.00</t>
  </si>
  <si>
    <t>-31,426.00</t>
  </si>
  <si>
    <t>-38,460.00</t>
  </si>
  <si>
    <t>-9,990.00</t>
  </si>
  <si>
    <t>-79,876.00</t>
  </si>
  <si>
    <t>26,929.00</t>
  </si>
  <si>
    <t>20,364.00</t>
  </si>
  <si>
    <t>27,261.00</t>
  </si>
  <si>
    <t>74,554.00</t>
  </si>
  <si>
    <t>-9,037.00</t>
  </si>
  <si>
    <t>30,020.00</t>
  </si>
  <si>
    <t>20,859.00</t>
  </si>
  <si>
    <t>41,842.00</t>
  </si>
  <si>
    <t>-3,216.00</t>
  </si>
  <si>
    <t>-11,302.00</t>
  </si>
  <si>
    <t>-10,474.00</t>
  </si>
  <si>
    <t>-24,992.00</t>
  </si>
  <si>
    <t>1Q 2023</t>
  </si>
  <si>
    <t>2Q 2023</t>
  </si>
  <si>
    <t>3Q 2023</t>
  </si>
  <si>
    <t>4Q 2023</t>
  </si>
  <si>
    <t>1Q 2024</t>
  </si>
  <si>
    <t>2Q 2024</t>
  </si>
  <si>
    <t>3Q 2024</t>
  </si>
  <si>
    <t>4Q 2024</t>
  </si>
  <si>
    <t>Subdistrict</t>
  </si>
  <si>
    <t>Property</t>
  </si>
  <si>
    <t>Latitude</t>
  </si>
  <si>
    <t>Longitude</t>
  </si>
  <si>
    <t>TransactedGFApy</t>
  </si>
  <si>
    <t>Consideration</t>
  </si>
  <si>
    <t>UnitRatebyKRWpy</t>
  </si>
  <si>
    <t>Total Supply</t>
  </si>
  <si>
    <t>2023 Q1</t>
  </si>
  <si>
    <t>2023 Q2</t>
  </si>
  <si>
    <t>2023 Q3</t>
  </si>
  <si>
    <t>2023 Q4</t>
  </si>
  <si>
    <t>2024 Q1</t>
  </si>
  <si>
    <t>2024 Q2</t>
  </si>
  <si>
    <t>2024 Q3</t>
  </si>
  <si>
    <t>2024 Q4</t>
  </si>
  <si>
    <t>2025 Q1</t>
  </si>
  <si>
    <t>2025 Q2</t>
  </si>
  <si>
    <t>2025 Q3</t>
  </si>
  <si>
    <t>2025 Q4</t>
  </si>
  <si>
    <t>Cap Rate</t>
    <phoneticPr fontId="3" type="noConversion"/>
  </si>
  <si>
    <t>UnitRatebyKRWsq. m.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</si>
</sst>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8"/>
      <name val="Calibri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4" fontId="0" fillId="0" borderId="0" xfId="0" applyNumberFormat="1"/>
    <xf numFmtId="0" fontId="2" fillId="0" borderId="0" xfId="0" applyFont="1"/>
    <xf numFmtId="0" fontId="1" fillId="2" borderId="1" xfId="0" applyFont="1" applyFill="1" applyBorder="1" applyAlignment="1">
      <alignment horizontal="center" vertical="top"/>
    </xf>
    <xf numFmtId="4" fontId="1" fillId="0" borderId="1" xfId="0" applyNumberFormat="1" applyFont="1" applyBorder="1" applyAlignment="1">
      <alignment horizontal="center" vertical="top"/>
    </xf>
    <xf numFmtId="3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&#9679;Market%20Commentary%20DB&#9679;/&#9679;Transaction%20Data%20(Master%20File)&#9679;/2026/2026&#45380;%201&#48516;&#44592;%20&#50724;&#54588;&#49828;%20&amp;%20&#47932;&#47448;%20&#49884;&#51109;%20&#50629;&#45936;&#51060;&#53944;%20&#51088;&#47308;_v1.xlsx" TargetMode="External"/><Relationship Id="rId2" Type="http://schemas.openxmlformats.org/officeDocument/2006/relationships/externalLinkPath" Target="https://colliers-my.sharepoint.com/personal/jordan_na_colliers_com/Documents/CIK%20-%20CIHK%20Share%20Folder%20(202501)/&#9679;Market%20Commentary%20DB&#9679;/&#9679;Transaction%20Data%20(Master%20File)&#9679;/2026/2026&#45380;%201&#48516;&#44592;%20&#50724;&#54588;&#49828;%20&amp;%20&#47932;&#47448;%20&#49884;&#51109;%20&#50629;&#45936;&#51060;&#53944;%20&#51088;&#47308;_v1.xlsx" TargetMode="External"/><Relationship Id="rId1" Type="http://schemas.openxmlformats.org/officeDocument/2006/relationships/externalLinkPath" Target="/personal/jordan_na_colliers_com/Documents/CIK%20-%20CIHK%20Share%20Folder%20(202501)/&#9679;Market%20Commentary%20DB&#9679;/&#9679;Transaction%20Data%20(Master%20File)&#9679;/2026/2026&#45380;%201&#48516;&#44592;%20&#50724;&#54588;&#49828;%20&amp;%20&#47932;&#47448;%20&#49884;&#51109;%20&#50629;&#45936;&#51060;&#53944;%20&#51088;&#47308;_v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한신인터밸리24_일사편리"/>
      <sheetName val="요약"/>
      <sheetName val="1.1 오피스 거래 사례 (Grade A)"/>
      <sheetName val="1.2 오피스 거래 사례 (Grade B)"/>
      <sheetName val="1.3 오피스 (REITs 소유)"/>
      <sheetName val="1.4 오피스 시장 코멘트"/>
      <sheetName val="1.5 오피스 시장 임대료"/>
      <sheetName val="2.1 물류 거래 사례"/>
      <sheetName val="2.2 물류센터 (REITs 소유)"/>
      <sheetName val="2.3 물류센터 시장 코멘트"/>
      <sheetName val="2.4 물류센터 시장 임대료"/>
      <sheetName val="3.1 기타(호텔, 주거 등) 거래 사례"/>
      <sheetName val="4.1 데이터센터 거래 사례"/>
      <sheetName val="4.2 데이터센터 시장조사"/>
      <sheetName val="4.3 데이터센터 임대료"/>
      <sheetName val="4.4 데이터센터 안정화"/>
      <sheetName val="4.5 데이터센터 시장 가정치"/>
      <sheetName val="Map and District Division"/>
    </sheetNames>
    <sheetDataSet>
      <sheetData sheetId="0"/>
      <sheetData sheetId="1">
        <row r="10">
          <cell r="D10" t="str">
            <v>Capital Value (KRW/py)</v>
          </cell>
          <cell r="E10">
            <v>62983599.3208794</v>
          </cell>
          <cell r="F10">
            <v>32352545.596815124</v>
          </cell>
          <cell r="G10">
            <v>47668072.458847262</v>
          </cell>
          <cell r="H10">
            <v>22913960.476259548</v>
          </cell>
          <cell r="I10">
            <v>32255067.42708686</v>
          </cell>
          <cell r="J10">
            <v>27584513.951673202</v>
          </cell>
          <cell r="K10">
            <v>37626293.205260232</v>
          </cell>
          <cell r="L10">
            <v>33162389.754980016</v>
          </cell>
          <cell r="M10">
            <v>27061960.069533277</v>
          </cell>
          <cell r="N10">
            <v>30112174.912256647</v>
          </cell>
          <cell r="O10">
            <v>33323728.949163962</v>
          </cell>
          <cell r="P10">
            <v>28071908.322674051</v>
          </cell>
          <cell r="Q10">
            <v>30697818.635919005</v>
          </cell>
          <cell r="R10">
            <v>30404996.774087828</v>
          </cell>
          <cell r="S10">
            <v>31293420.965921074</v>
          </cell>
          <cell r="T10">
            <v>34926726.258352444</v>
          </cell>
          <cell r="U10">
            <v>33110073.612136759</v>
          </cell>
          <cell r="V10">
            <v>35972792.385884389</v>
          </cell>
          <cell r="W10">
            <v>34800181.484203018</v>
          </cell>
          <cell r="X10">
            <v>35386486.935043707</v>
          </cell>
          <cell r="Y10">
            <v>34248280.273590229</v>
          </cell>
        </row>
        <row r="13">
          <cell r="D13" t="str">
            <v>Cap Rate (Average)</v>
          </cell>
          <cell r="E13">
            <v>4.3197566651193314E-2</v>
          </cell>
          <cell r="F13">
            <v>4.3197566651193314E-2</v>
          </cell>
          <cell r="G13">
            <v>4.3197566651193314E-2</v>
          </cell>
          <cell r="H13">
            <v>3.8489870131784683E-2</v>
          </cell>
          <cell r="I13">
            <v>5.1933366760710656E-2</v>
          </cell>
          <cell r="J13">
            <v>4.5211618446247673E-2</v>
          </cell>
          <cell r="K13">
            <v>4.4204592548720487E-2</v>
          </cell>
          <cell r="L13">
            <v>4.1000000000000002E-2</v>
          </cell>
          <cell r="M13">
            <v>4.5499999999999999E-2</v>
          </cell>
          <cell r="N13">
            <v>4.3249999999999997E-2</v>
          </cell>
          <cell r="O13">
            <v>3.9210844786741909E-2</v>
          </cell>
          <cell r="P13">
            <v>3.8741119266900902E-2</v>
          </cell>
          <cell r="Q13">
            <v>3.8975982026821406E-2</v>
          </cell>
          <cell r="R13">
            <v>4.1112991013410705E-2</v>
          </cell>
          <cell r="S13">
            <v>4.1033333333333338E-2</v>
          </cell>
          <cell r="T13">
            <v>3.7791666666666668E-2</v>
          </cell>
          <cell r="U13">
            <v>3.9412500000000003E-2</v>
          </cell>
          <cell r="V13">
            <v>3.5750000000000004E-2</v>
          </cell>
          <cell r="W13">
            <v>4.5145641119287809E-2</v>
          </cell>
          <cell r="X13">
            <v>4.044782055964391E-2</v>
          </cell>
          <cell r="Y13">
            <v>3.9930160279821957E-2</v>
          </cell>
        </row>
        <row r="24">
          <cell r="D24" t="str">
            <v>CBD</v>
          </cell>
          <cell r="E24" t="str">
            <v>1Q 2023</v>
          </cell>
          <cell r="F24" t="str">
            <v>2Q 2023</v>
          </cell>
          <cell r="G24" t="str">
            <v>1H 2023</v>
          </cell>
          <cell r="H24" t="str">
            <v>3Q 2023</v>
          </cell>
          <cell r="I24" t="str">
            <v>4Q 2023</v>
          </cell>
          <cell r="J24" t="str">
            <v>2H 2023</v>
          </cell>
          <cell r="K24" t="str">
            <v>2023 Total</v>
          </cell>
          <cell r="L24" t="str">
            <v>1Q 2024</v>
          </cell>
          <cell r="M24" t="str">
            <v>2Q 2024</v>
          </cell>
          <cell r="N24" t="str">
            <v>1H 2024</v>
          </cell>
          <cell r="O24" t="str">
            <v>3Q 2024</v>
          </cell>
          <cell r="P24" t="str">
            <v>4Q 2024</v>
          </cell>
          <cell r="Q24" t="str">
            <v>2H 2024</v>
          </cell>
          <cell r="R24" t="str">
            <v>2024 Total</v>
          </cell>
          <cell r="S24" t="str">
            <v>1Q 2025</v>
          </cell>
          <cell r="T24" t="str">
            <v>2Q 2025</v>
          </cell>
          <cell r="U24" t="str">
            <v>1H 2025</v>
          </cell>
          <cell r="V24" t="str">
            <v>3Q 2025</v>
          </cell>
          <cell r="W24" t="str">
            <v>4Q 2025</v>
          </cell>
          <cell r="X24" t="str">
            <v>2H 2025</v>
          </cell>
          <cell r="Y24" t="str">
            <v>2025 Total</v>
          </cell>
        </row>
        <row r="30">
          <cell r="D30" t="str">
            <v>CBD: Capital Value (KRW/py)</v>
          </cell>
          <cell r="E30">
            <v>47619594.970713951</v>
          </cell>
          <cell r="F30">
            <v>41401134.749473467</v>
          </cell>
          <cell r="G30" t="e">
            <v>#DIV/0!</v>
          </cell>
          <cell r="H30">
            <v>26211819.017760627</v>
          </cell>
          <cell r="I30">
            <v>28458667.204730846</v>
          </cell>
          <cell r="J30">
            <v>27335243.111245736</v>
          </cell>
          <cell r="K30">
            <v>35922803.985669725</v>
          </cell>
          <cell r="L30">
            <v>32102989.895063415</v>
          </cell>
          <cell r="M30">
            <v>24514581.328088172</v>
          </cell>
          <cell r="N30" t="e">
            <v>#DIV/0!</v>
          </cell>
          <cell r="O30">
            <v>34382613.265407778</v>
          </cell>
          <cell r="P30">
            <v>30147563.008810908</v>
          </cell>
          <cell r="Q30">
            <v>32265088.137109343</v>
          </cell>
          <cell r="R30">
            <v>30286936.874342568</v>
          </cell>
          <cell r="S30">
            <v>32483777.374871146</v>
          </cell>
          <cell r="T30">
            <v>30524672.660534874</v>
          </cell>
          <cell r="U30">
            <v>31504225.017703012</v>
          </cell>
          <cell r="V30">
            <v>33705182.252448544</v>
          </cell>
          <cell r="W30">
            <v>34085857.351541638</v>
          </cell>
          <cell r="X30">
            <v>33895519.801995091</v>
          </cell>
          <cell r="Y30">
            <v>32699872.409849051</v>
          </cell>
        </row>
        <row r="33">
          <cell r="D33" t="str">
            <v>Cap Rate (Average)</v>
          </cell>
          <cell r="F33">
            <v>4.1095077713919008E-2</v>
          </cell>
          <cell r="G33">
            <v>0</v>
          </cell>
          <cell r="H33">
            <v>4.0782953539823009E-2</v>
          </cell>
          <cell r="I33">
            <v>6.2540540540540535E-2</v>
          </cell>
          <cell r="J33">
            <v>5.1661747040181769E-2</v>
          </cell>
          <cell r="K33">
            <v>4.8139523931427515E-2</v>
          </cell>
          <cell r="L33">
            <v>0.04</v>
          </cell>
          <cell r="M33">
            <v>5.6000000000000001E-2</v>
          </cell>
          <cell r="N33">
            <v>0</v>
          </cell>
          <cell r="O33">
            <v>4.2750000000000003E-2</v>
          </cell>
          <cell r="P33">
            <v>4.4333333333333336E-2</v>
          </cell>
          <cell r="Q33">
            <v>4.3541666666666673E-2</v>
          </cell>
          <cell r="R33">
            <v>4.5770833333333337E-2</v>
          </cell>
          <cell r="S33">
            <v>3.9600000000000003E-2</v>
          </cell>
          <cell r="T33">
            <v>4.0333333333333332E-2</v>
          </cell>
          <cell r="U33">
            <v>3.9966666666666664E-2</v>
          </cell>
          <cell r="V33">
            <v>3.95E-2</v>
          </cell>
          <cell r="W33">
            <v>4.1999999999999996E-2</v>
          </cell>
          <cell r="X33">
            <v>4.0749999999999995E-2</v>
          </cell>
          <cell r="Y33">
            <v>4.0358333333333329E-2</v>
          </cell>
        </row>
        <row r="43">
          <cell r="D43" t="str">
            <v>GBD: Capital Value (KRW/py)</v>
          </cell>
          <cell r="E43">
            <v>78347603.671044856</v>
          </cell>
          <cell r="F43">
            <v>33888398.056978181</v>
          </cell>
          <cell r="G43">
            <v>56118000.864011519</v>
          </cell>
          <cell r="H43">
            <v>27693165.353815027</v>
          </cell>
          <cell r="I43">
            <v>36051467.649442874</v>
          </cell>
          <cell r="J43">
            <v>31872316.50162895</v>
          </cell>
          <cell r="K43">
            <v>43995158.682820238</v>
          </cell>
          <cell r="L43">
            <v>34221789.614896618</v>
          </cell>
          <cell r="M43">
            <v>29609338.810978383</v>
          </cell>
          <cell r="N43" t="e">
            <v>#DIV/0!</v>
          </cell>
          <cell r="O43">
            <v>40498679.823164314</v>
          </cell>
          <cell r="P43">
            <v>31631006.246536337</v>
          </cell>
          <cell r="Q43">
            <v>36064843.034850329</v>
          </cell>
          <cell r="R43">
            <v>33990203.623893917</v>
          </cell>
          <cell r="S43">
            <v>36606036.652659968</v>
          </cell>
          <cell r="T43">
            <v>39328779.856170014</v>
          </cell>
          <cell r="U43">
            <v>37967408.254414991</v>
          </cell>
          <cell r="V43">
            <v>38240402.519320235</v>
          </cell>
          <cell r="W43">
            <v>48293143.669812448</v>
          </cell>
          <cell r="X43">
            <v>43266773.094566345</v>
          </cell>
          <cell r="Y43">
            <v>40617090.674490668</v>
          </cell>
        </row>
        <row r="46">
          <cell r="D46" t="str">
            <v>Cap Rate (Average)</v>
          </cell>
          <cell r="F46">
            <v>4.5300055588467614E-2</v>
          </cell>
          <cell r="G46">
            <v>0</v>
          </cell>
          <cell r="H46">
            <v>4.7500000000000001E-2</v>
          </cell>
          <cell r="I46">
            <v>4.132619298088077E-2</v>
          </cell>
          <cell r="J46">
            <v>4.4413096490440382E-2</v>
          </cell>
          <cell r="K46">
            <v>4.4708749523116126E-2</v>
          </cell>
          <cell r="L46">
            <v>4.2000000000000003E-2</v>
          </cell>
          <cell r="M46">
            <v>3.5000000000000003E-2</v>
          </cell>
          <cell r="N46">
            <v>0</v>
          </cell>
          <cell r="O46">
            <v>2.7882534360225732E-2</v>
          </cell>
          <cell r="P46">
            <v>3.0890024467369364E-2</v>
          </cell>
          <cell r="Q46">
            <v>2.9386279413797546E-2</v>
          </cell>
          <cell r="R46">
            <v>3.3943139706898773E-2</v>
          </cell>
          <cell r="S46">
            <v>4.1500000000000002E-2</v>
          </cell>
          <cell r="T46">
            <v>3.5250000000000004E-2</v>
          </cell>
          <cell r="U46">
            <v>3.8375000000000006E-2</v>
          </cell>
          <cell r="V46">
            <v>3.2000000000000001E-2</v>
          </cell>
          <cell r="W46">
            <v>3.9E-2</v>
          </cell>
          <cell r="X46">
            <v>3.5500000000000004E-2</v>
          </cell>
          <cell r="Y46">
            <v>3.6937500000000005E-2</v>
          </cell>
        </row>
        <row r="56">
          <cell r="D56" t="str">
            <v>YBD: Capital Value (KRW/py)</v>
          </cell>
          <cell r="F56">
            <v>21768103.983993728</v>
          </cell>
          <cell r="G56">
            <v>21768103.983993728</v>
          </cell>
          <cell r="H56">
            <v>14836897.057203002</v>
          </cell>
          <cell r="J56">
            <v>14836897.057203002</v>
          </cell>
          <cell r="K56">
            <v>18302500.520598367</v>
          </cell>
          <cell r="O56">
            <v>25089893.758919813</v>
          </cell>
          <cell r="P56">
            <v>22437155.712674912</v>
          </cell>
          <cell r="Q56">
            <v>23763524.735797361</v>
          </cell>
          <cell r="R56">
            <v>23763524.735797361</v>
          </cell>
          <cell r="S56">
            <v>24790448.870232113</v>
          </cell>
          <cell r="U56">
            <v>24790448.870232113</v>
          </cell>
          <cell r="W56">
            <v>22021543.431254983</v>
          </cell>
          <cell r="X56">
            <v>22021543.431254983</v>
          </cell>
          <cell r="Y56">
            <v>23405996.150743548</v>
          </cell>
        </row>
        <row r="59">
          <cell r="D59" t="str">
            <v>Cap Rate (Average)</v>
          </cell>
          <cell r="G59">
            <v>0</v>
          </cell>
          <cell r="H59">
            <v>2.7186656855531028E-2</v>
          </cell>
          <cell r="J59">
            <v>2.7186656855531028E-2</v>
          </cell>
          <cell r="K59">
            <v>2.7186656855531028E-2</v>
          </cell>
          <cell r="O59">
            <v>4.7E-2</v>
          </cell>
          <cell r="P59">
            <v>4.1000000000000002E-2</v>
          </cell>
          <cell r="Q59">
            <v>4.3999999999999997E-2</v>
          </cell>
          <cell r="R59">
            <v>4.3999999999999997E-2</v>
          </cell>
          <cell r="S59">
            <v>4.2000000000000003E-2</v>
          </cell>
          <cell r="U59">
            <v>4.2000000000000003E-2</v>
          </cell>
          <cell r="W59">
            <v>5.4436923357863438E-2</v>
          </cell>
          <cell r="X59">
            <v>5.4436923357863438E-2</v>
          </cell>
          <cell r="Y59">
            <v>4.8218461678931721E-2</v>
          </cell>
        </row>
      </sheetData>
      <sheetData sheetId="2">
        <row r="2">
          <cell r="C2" t="str">
            <v>GBD</v>
          </cell>
          <cell r="D2" t="str">
            <v>CBD</v>
          </cell>
          <cell r="E2" t="str">
            <v>GBD</v>
          </cell>
          <cell r="F2" t="str">
            <v>GBD</v>
          </cell>
          <cell r="G2" t="str">
            <v>GBD</v>
          </cell>
          <cell r="H2" t="str">
            <v>CBD</v>
          </cell>
          <cell r="I2" t="str">
            <v>CBD</v>
          </cell>
          <cell r="J2" t="str">
            <v>CBD</v>
          </cell>
          <cell r="K2" t="str">
            <v>CBD</v>
          </cell>
          <cell r="L2" t="str">
            <v>CBD</v>
          </cell>
          <cell r="M2" t="str">
            <v>YBD</v>
          </cell>
          <cell r="N2" t="str">
            <v>BBD</v>
          </cell>
          <cell r="O2" t="str">
            <v>GBD</v>
          </cell>
          <cell r="P2" t="str">
            <v>GBD</v>
          </cell>
          <cell r="Q2" t="str">
            <v>CBD</v>
          </cell>
          <cell r="R2" t="str">
            <v>CBD</v>
          </cell>
          <cell r="S2" t="str">
            <v>CBD</v>
          </cell>
          <cell r="T2" t="str">
            <v>CBD</v>
          </cell>
          <cell r="U2" t="str">
            <v>CBD</v>
          </cell>
          <cell r="V2" t="str">
            <v>YBD</v>
          </cell>
          <cell r="W2" t="str">
            <v>BBD</v>
          </cell>
          <cell r="X2" t="str">
            <v>GBD</v>
          </cell>
          <cell r="Y2" t="str">
            <v>GBD</v>
          </cell>
          <cell r="Z2" t="str">
            <v>GBD</v>
          </cell>
          <cell r="AA2" t="str">
            <v>CBD</v>
          </cell>
          <cell r="AB2" t="str">
            <v>CBD</v>
          </cell>
          <cell r="AC2" t="str">
            <v>BBD</v>
          </cell>
          <cell r="AD2" t="str">
            <v>Others</v>
          </cell>
          <cell r="AE2" t="str">
            <v>Others</v>
          </cell>
          <cell r="AF2" t="str">
            <v>CBD</v>
          </cell>
          <cell r="AG2" t="str">
            <v>GBD</v>
          </cell>
          <cell r="AH2" t="str">
            <v>GBD</v>
          </cell>
          <cell r="AI2" t="str">
            <v>CBD</v>
          </cell>
          <cell r="AJ2" t="str">
            <v>CBD</v>
          </cell>
          <cell r="AK2" t="str">
            <v>CBD</v>
          </cell>
          <cell r="AL2" t="str">
            <v>GBD</v>
          </cell>
          <cell r="AM2" t="str">
            <v>GBD</v>
          </cell>
          <cell r="AN2" t="str">
            <v>GBD</v>
          </cell>
          <cell r="AO2" t="str">
            <v>CBD</v>
          </cell>
          <cell r="AP2" t="str">
            <v>GBD</v>
          </cell>
          <cell r="AQ2" t="str">
            <v>GBD</v>
          </cell>
          <cell r="AR2" t="str">
            <v>CBD</v>
          </cell>
          <cell r="AS2" t="str">
            <v>GBD</v>
          </cell>
          <cell r="AT2" t="str">
            <v>CBD</v>
          </cell>
          <cell r="AU2" t="str">
            <v>CBD</v>
          </cell>
          <cell r="AV2" t="str">
            <v>BBD</v>
          </cell>
          <cell r="AW2" t="str">
            <v>CBD</v>
          </cell>
          <cell r="AX2" t="str">
            <v>CBD</v>
          </cell>
          <cell r="AY2" t="str">
            <v>YBD</v>
          </cell>
          <cell r="AZ2" t="str">
            <v>GBD</v>
          </cell>
          <cell r="BA2" t="str">
            <v>YBD</v>
          </cell>
          <cell r="BB2" t="str">
            <v>CBD</v>
          </cell>
          <cell r="BC2" t="str">
            <v>CBD</v>
          </cell>
          <cell r="BD2" t="str">
            <v>CBD</v>
          </cell>
          <cell r="BE2" t="str">
            <v>YBD</v>
          </cell>
          <cell r="BF2" t="str">
            <v>GBD</v>
          </cell>
          <cell r="BG2" t="str">
            <v>GBD</v>
          </cell>
          <cell r="BH2" t="str">
            <v>CBD</v>
          </cell>
          <cell r="BI2" t="str">
            <v>CBD</v>
          </cell>
          <cell r="BJ2" t="str">
            <v>CBD</v>
          </cell>
          <cell r="BK2" t="str">
            <v>GBD</v>
          </cell>
          <cell r="BL2" t="str">
            <v>GBD</v>
          </cell>
          <cell r="BM2" t="str">
            <v>CBD</v>
          </cell>
          <cell r="BN2" t="str">
            <v>CBD</v>
          </cell>
          <cell r="BO2" t="str">
            <v>YBD</v>
          </cell>
          <cell r="BP2" t="str">
            <v>BBD</v>
          </cell>
          <cell r="BQ2" t="str">
            <v>Others</v>
          </cell>
          <cell r="BR2" t="str">
            <v>Others</v>
          </cell>
          <cell r="BS2" t="str">
            <v>YBD</v>
          </cell>
          <cell r="BT2" t="str">
            <v>GBD</v>
          </cell>
          <cell r="BU2" t="str">
            <v>Others</v>
          </cell>
          <cell r="BV2" t="str">
            <v>GBD</v>
          </cell>
          <cell r="BW2" t="str">
            <v>CBD</v>
          </cell>
          <cell r="BX2" t="str">
            <v>CBD</v>
          </cell>
          <cell r="BY2" t="str">
            <v>CBD</v>
          </cell>
          <cell r="BZ2" t="str">
            <v>HBD</v>
          </cell>
          <cell r="CA2" t="str">
            <v>BBD</v>
          </cell>
          <cell r="CB2" t="str">
            <v>GBD</v>
          </cell>
          <cell r="CC2" t="str">
            <v>GBD</v>
          </cell>
          <cell r="CD2" t="str">
            <v>GBD</v>
          </cell>
          <cell r="CE2" t="str">
            <v>GBD</v>
          </cell>
          <cell r="CF2" t="str">
            <v>CBD</v>
          </cell>
          <cell r="CG2" t="str">
            <v>CBD</v>
          </cell>
          <cell r="CH2" t="str">
            <v>CBD</v>
          </cell>
          <cell r="CI2" t="str">
            <v>GBD</v>
          </cell>
          <cell r="CJ2" t="str">
            <v>CBD</v>
          </cell>
          <cell r="CK2" t="str">
            <v>GBD</v>
          </cell>
          <cell r="CL2" t="str">
            <v>GBD</v>
          </cell>
          <cell r="CM2" t="str">
            <v>GBD</v>
          </cell>
          <cell r="CN2" t="str">
            <v>CBD</v>
          </cell>
          <cell r="CO2" t="str">
            <v>CBD</v>
          </cell>
          <cell r="CP2" t="str">
            <v>CBD</v>
          </cell>
          <cell r="CQ2" t="str">
            <v>GBD</v>
          </cell>
          <cell r="CR2" t="str">
            <v>GBD</v>
          </cell>
          <cell r="CS2" t="str">
            <v>CBD</v>
          </cell>
          <cell r="CT2" t="str">
            <v>CBD</v>
          </cell>
          <cell r="CU2" t="str">
            <v>GBD</v>
          </cell>
          <cell r="CV2" t="str">
            <v>CBD</v>
          </cell>
          <cell r="CW2" t="str">
            <v>GBD</v>
          </cell>
          <cell r="CX2" t="str">
            <v>SBD</v>
          </cell>
          <cell r="CY2" t="str">
            <v>YBD</v>
          </cell>
          <cell r="CZ2" t="str">
            <v>CBD</v>
          </cell>
          <cell r="DA2" t="str">
            <v>BBD</v>
          </cell>
          <cell r="DB2" t="str">
            <v>BBD</v>
          </cell>
          <cell r="DC2" t="str">
            <v>GBD</v>
          </cell>
          <cell r="DD2" t="str">
            <v>CBD</v>
          </cell>
          <cell r="DE2" t="str">
            <v>GBD</v>
          </cell>
          <cell r="DF2" t="str">
            <v>YBD</v>
          </cell>
          <cell r="DG2" t="str">
            <v>CBD</v>
          </cell>
          <cell r="DJ2" t="str">
            <v>GBD</v>
          </cell>
          <cell r="DK2" t="str">
            <v>GBD</v>
          </cell>
          <cell r="DL2" t="str">
            <v>GBD</v>
          </cell>
          <cell r="DM2" t="str">
            <v>GBD</v>
          </cell>
          <cell r="DN2" t="str">
            <v>GBD</v>
          </cell>
          <cell r="DO2" t="str">
            <v>GBD</v>
          </cell>
          <cell r="DP2" t="str">
            <v>GBD</v>
          </cell>
          <cell r="DQ2" t="str">
            <v>GBD</v>
          </cell>
          <cell r="DR2" t="str">
            <v>GBD</v>
          </cell>
          <cell r="DS2" t="str">
            <v>GBD</v>
          </cell>
          <cell r="DT2" t="str">
            <v>GBD</v>
          </cell>
          <cell r="DU2" t="str">
            <v>GBD</v>
          </cell>
          <cell r="DV2" t="str">
            <v>GBD</v>
          </cell>
          <cell r="DW2" t="str">
            <v>GBD</v>
          </cell>
          <cell r="DX2" t="str">
            <v>GBD</v>
          </cell>
          <cell r="DY2" t="str">
            <v>GBD</v>
          </cell>
          <cell r="DZ2" t="str">
            <v>CBD</v>
          </cell>
          <cell r="EA2" t="str">
            <v>CBD</v>
          </cell>
          <cell r="EB2" t="str">
            <v>CBD</v>
          </cell>
          <cell r="EC2" t="str">
            <v>CBD</v>
          </cell>
          <cell r="ED2" t="str">
            <v>CBD</v>
          </cell>
          <cell r="EE2" t="str">
            <v>CBD</v>
          </cell>
          <cell r="EF2" t="str">
            <v>CBD</v>
          </cell>
          <cell r="EG2" t="str">
            <v>CBD</v>
          </cell>
          <cell r="EH2" t="str">
            <v>CBD</v>
          </cell>
          <cell r="EI2" t="str">
            <v>CBD</v>
          </cell>
          <cell r="EJ2" t="str">
            <v>CBD</v>
          </cell>
          <cell r="EK2" t="str">
            <v>CBD</v>
          </cell>
          <cell r="EL2" t="str">
            <v>CBD</v>
          </cell>
          <cell r="EM2" t="str">
            <v>CBD</v>
          </cell>
          <cell r="EN2" t="str">
            <v>CBD</v>
          </cell>
          <cell r="EO2" t="str">
            <v>CBD</v>
          </cell>
          <cell r="EP2" t="str">
            <v>CBD</v>
          </cell>
          <cell r="EQ2" t="str">
            <v>CBD</v>
          </cell>
          <cell r="ER2" t="str">
            <v>CBD</v>
          </cell>
          <cell r="ES2" t="str">
            <v>CBD</v>
          </cell>
          <cell r="ET2" t="str">
            <v>CBD</v>
          </cell>
          <cell r="EU2" t="str">
            <v>CBD</v>
          </cell>
          <cell r="EV2" t="str">
            <v>CBD</v>
          </cell>
          <cell r="EW2" t="str">
            <v>CBD</v>
          </cell>
          <cell r="EX2" t="str">
            <v>YBD</v>
          </cell>
          <cell r="EY2" t="str">
            <v>YBD</v>
          </cell>
          <cell r="EZ2" t="str">
            <v>YBD</v>
          </cell>
          <cell r="FA2" t="str">
            <v>BBD</v>
          </cell>
          <cell r="FB2" t="str">
            <v>BBD</v>
          </cell>
          <cell r="FC2" t="str">
            <v>BBD</v>
          </cell>
          <cell r="FD2" t="str">
            <v>BBD</v>
          </cell>
          <cell r="FE2" t="str">
            <v>BBD</v>
          </cell>
          <cell r="FF2" t="str">
            <v>BBD</v>
          </cell>
          <cell r="FG2" t="str">
            <v>BBD</v>
          </cell>
          <cell r="FH2" t="str">
            <v>HBD</v>
          </cell>
          <cell r="FI2" t="str">
            <v>SBD</v>
          </cell>
          <cell r="FJ2" t="str">
            <v>Others</v>
          </cell>
          <cell r="FK2" t="str">
            <v>Others</v>
          </cell>
          <cell r="FL2" t="str">
            <v>Others</v>
          </cell>
          <cell r="FM2" t="str">
            <v>Others</v>
          </cell>
          <cell r="FN2" t="str">
            <v>Others</v>
          </cell>
          <cell r="FO2" t="str">
            <v>Others</v>
          </cell>
        </row>
        <row r="5">
          <cell r="B5" t="str">
            <v>분기</v>
          </cell>
          <cell r="C5" t="str">
            <v>4Q 2022</v>
          </cell>
          <cell r="D5" t="str">
            <v>1Q 2023</v>
          </cell>
          <cell r="E5" t="str">
            <v>1Q 2023</v>
          </cell>
          <cell r="F5" t="str">
            <v>1Q 2023</v>
          </cell>
          <cell r="G5" t="str">
            <v>2Q 2023</v>
          </cell>
          <cell r="H5" t="str">
            <v>2Q 2023</v>
          </cell>
          <cell r="I5" t="str">
            <v>2Q 2023</v>
          </cell>
          <cell r="J5" t="str">
            <v>2Q 2023</v>
          </cell>
          <cell r="K5" t="str">
            <v>2Q 2023</v>
          </cell>
          <cell r="L5" t="str">
            <v>2Q 2023</v>
          </cell>
          <cell r="M5" t="str">
            <v>2Q 2023</v>
          </cell>
          <cell r="N5" t="str">
            <v>2Q 2023</v>
          </cell>
          <cell r="O5" t="str">
            <v>3Q 2023</v>
          </cell>
          <cell r="P5" t="str">
            <v>3Q 2023</v>
          </cell>
          <cell r="Q5" t="str">
            <v>3Q 2023</v>
          </cell>
          <cell r="R5" t="str">
            <v>3Q 2023</v>
          </cell>
          <cell r="S5" t="str">
            <v>3Q 2023</v>
          </cell>
          <cell r="T5" t="str">
            <v>3Q 2023</v>
          </cell>
          <cell r="U5" t="str">
            <v>3Q 2023</v>
          </cell>
          <cell r="V5" t="str">
            <v>3Q 2023</v>
          </cell>
          <cell r="W5" t="str">
            <v>3Q 2023</v>
          </cell>
          <cell r="X5" t="str">
            <v>4Q 2023</v>
          </cell>
          <cell r="Y5" t="str">
            <v>4Q 2023</v>
          </cell>
          <cell r="Z5" t="str">
            <v>4Q 2023</v>
          </cell>
          <cell r="AA5" t="str">
            <v>4Q 2023</v>
          </cell>
          <cell r="AB5" t="str">
            <v>4Q 2023</v>
          </cell>
          <cell r="AC5" t="str">
            <v>4Q 2023</v>
          </cell>
          <cell r="AD5" t="str">
            <v>4Q 2023</v>
          </cell>
          <cell r="AE5" t="str">
            <v>4Q 2023</v>
          </cell>
          <cell r="AF5" t="str">
            <v>1Q 2024</v>
          </cell>
          <cell r="AG5" t="str">
            <v>1Q 2024</v>
          </cell>
          <cell r="AH5" t="str">
            <v>1Q 2024</v>
          </cell>
          <cell r="AI5" t="str">
            <v>1Q 2024</v>
          </cell>
          <cell r="AJ5" t="str">
            <v>1Q 2024</v>
          </cell>
          <cell r="AK5" t="str">
            <v>1Q 2024</v>
          </cell>
          <cell r="AL5" t="str">
            <v>1Q 2024</v>
          </cell>
          <cell r="AM5" t="str">
            <v>1Q 2024</v>
          </cell>
          <cell r="AN5" t="str">
            <v>2Q 2024</v>
          </cell>
          <cell r="AO5" t="str">
            <v>2Q 2024</v>
          </cell>
          <cell r="AP5" t="str">
            <v>2Q 2024</v>
          </cell>
          <cell r="AQ5" t="str">
            <v>2Q 2024</v>
          </cell>
          <cell r="AR5" t="str">
            <v>2Q 2024</v>
          </cell>
          <cell r="AS5" t="str">
            <v>3Q 2024</v>
          </cell>
          <cell r="AT5" t="str">
            <v>3Q 2024</v>
          </cell>
          <cell r="AU5" t="str">
            <v>3Q 2024</v>
          </cell>
          <cell r="AV5" t="str">
            <v>3Q 2024</v>
          </cell>
          <cell r="AW5" t="str">
            <v>3Q 2024</v>
          </cell>
          <cell r="AX5" t="str">
            <v>3Q 2024</v>
          </cell>
          <cell r="AY5" t="str">
            <v>3Q 2024</v>
          </cell>
          <cell r="AZ5" t="str">
            <v>3Q 2024</v>
          </cell>
          <cell r="BA5" t="str">
            <v>3Q 2024</v>
          </cell>
          <cell r="BB5" t="str">
            <v>4Q 2024</v>
          </cell>
          <cell r="BC5" t="str">
            <v>4Q 2024</v>
          </cell>
          <cell r="BD5" t="str">
            <v>4Q 2024</v>
          </cell>
          <cell r="BE5" t="str">
            <v>4Q 2024</v>
          </cell>
          <cell r="BF5" t="str">
            <v>4Q 2024</v>
          </cell>
          <cell r="BG5" t="str">
            <v>4Q 2024</v>
          </cell>
          <cell r="BH5" t="str">
            <v>1Q 2025</v>
          </cell>
          <cell r="BI5" t="str">
            <v>1Q 2025</v>
          </cell>
          <cell r="BJ5" t="str">
            <v>1Q 2025</v>
          </cell>
          <cell r="BK5" t="str">
            <v>1Q 2025</v>
          </cell>
          <cell r="BL5" t="str">
            <v>1Q 2025</v>
          </cell>
          <cell r="BM5" t="str">
            <v>1Q 2025</v>
          </cell>
          <cell r="BN5" t="str">
            <v>1Q 2025</v>
          </cell>
          <cell r="BO5" t="str">
            <v>1Q 2025</v>
          </cell>
          <cell r="BP5" t="str">
            <v>1Q 2025</v>
          </cell>
          <cell r="BQ5" t="str">
            <v>1Q 2025</v>
          </cell>
          <cell r="BR5" t="str">
            <v>1Q 2025</v>
          </cell>
          <cell r="BS5" t="str">
            <v>1Q 2025</v>
          </cell>
          <cell r="BT5" t="str">
            <v>1Q 2025</v>
          </cell>
          <cell r="BU5" t="str">
            <v>1Q 2025</v>
          </cell>
          <cell r="BV5" t="str">
            <v>2Q 2025</v>
          </cell>
          <cell r="BW5" t="str">
            <v>2Q 2025</v>
          </cell>
          <cell r="BX5" t="str">
            <v>2Q 2025</v>
          </cell>
          <cell r="BY5" t="str">
            <v>2Q 2025</v>
          </cell>
          <cell r="BZ5" t="str">
            <v>2Q 2025</v>
          </cell>
          <cell r="CA5" t="str">
            <v>2Q 2025</v>
          </cell>
          <cell r="CB5" t="str">
            <v>2Q 2025</v>
          </cell>
          <cell r="CC5" t="str">
            <v>2Q 2025</v>
          </cell>
          <cell r="CD5" t="str">
            <v>2Q 2025</v>
          </cell>
          <cell r="CE5" t="str">
            <v>2Q 2025</v>
          </cell>
          <cell r="CF5" t="str">
            <v>2Q 2025</v>
          </cell>
          <cell r="CG5" t="str">
            <v>3Q 2025</v>
          </cell>
          <cell r="CH5" t="str">
            <v>3Q 2025</v>
          </cell>
          <cell r="CI5" t="str">
            <v>3Q 2025</v>
          </cell>
          <cell r="CJ5" t="str">
            <v>3Q 2025</v>
          </cell>
          <cell r="CK5" t="str">
            <v>3Q 2025</v>
          </cell>
          <cell r="CL5" t="str">
            <v>3Q 2025</v>
          </cell>
          <cell r="CM5" t="str">
            <v>3Q 2025</v>
          </cell>
          <cell r="CN5" t="str">
            <v>3Q 2025</v>
          </cell>
          <cell r="CO5" t="str">
            <v>4Q 2025</v>
          </cell>
          <cell r="CP5" t="str">
            <v>4Q 2025</v>
          </cell>
          <cell r="CQ5" t="str">
            <v>4Q 2025</v>
          </cell>
          <cell r="CR5" t="str">
            <v>4Q 2025</v>
          </cell>
          <cell r="CS5" t="str">
            <v>4Q 2025</v>
          </cell>
          <cell r="CT5" t="str">
            <v>4Q 2025</v>
          </cell>
          <cell r="CU5" t="str">
            <v>4Q 2025</v>
          </cell>
          <cell r="CV5" t="str">
            <v>4Q 2025</v>
          </cell>
          <cell r="CW5" t="str">
            <v>4Q 2025</v>
          </cell>
          <cell r="CX5" t="str">
            <v>4Q 2025</v>
          </cell>
          <cell r="CY5" t="str">
            <v>4Q 2025</v>
          </cell>
          <cell r="CZ5" t="str">
            <v>4Q 2025</v>
          </cell>
          <cell r="DA5" t="str">
            <v>4Q 2025</v>
          </cell>
          <cell r="DC5" t="str">
            <v>1Q 2026</v>
          </cell>
          <cell r="DD5" t="str">
            <v>1Q 2026</v>
          </cell>
          <cell r="DE5" t="str">
            <v>1Q 2026</v>
          </cell>
          <cell r="DF5" t="str">
            <v>미확인/진행중인 건</v>
          </cell>
          <cell r="DG5" t="str">
            <v>미확인/진행중인 건</v>
          </cell>
          <cell r="DH5" t="str">
            <v>1Q 2026</v>
          </cell>
          <cell r="DJ5" t="str">
            <v>미확인/진행중인 건</v>
          </cell>
          <cell r="DK5" t="str">
            <v>미확인/진행중인 건</v>
          </cell>
          <cell r="DL5" t="str">
            <v>미확인/진행중인 건</v>
          </cell>
          <cell r="DM5" t="str">
            <v>미확인/진행중인 건</v>
          </cell>
          <cell r="DN5" t="str">
            <v>미확인/진행중인 건</v>
          </cell>
          <cell r="DO5" t="str">
            <v>미확인/진행중인 건</v>
          </cell>
          <cell r="DP5" t="str">
            <v>미확인/진행중인 건</v>
          </cell>
          <cell r="DQ5" t="str">
            <v>미확인/진행중인 건</v>
          </cell>
          <cell r="DR5" t="str">
            <v>미확인/진행중인 건</v>
          </cell>
          <cell r="DS5" t="str">
            <v>미확인/진행중인 건</v>
          </cell>
          <cell r="DT5" t="str">
            <v>미확인/진행중인 건</v>
          </cell>
          <cell r="DU5" t="str">
            <v>미확인/진행중인 건</v>
          </cell>
          <cell r="DV5" t="str">
            <v>미확인/진행중인 건</v>
          </cell>
          <cell r="DW5" t="str">
            <v>미확인/진행중인 건</v>
          </cell>
          <cell r="DX5" t="str">
            <v>미확인/진행중인 건</v>
          </cell>
          <cell r="DY5" t="str">
            <v>미확인/진행중인 건</v>
          </cell>
          <cell r="DZ5" t="str">
            <v>미확인/진행중인 건</v>
          </cell>
          <cell r="EA5" t="str">
            <v>미확인/진행중인 건</v>
          </cell>
          <cell r="EB5" t="str">
            <v>미확인/진행중인 건</v>
          </cell>
          <cell r="EC5" t="str">
            <v>미확인/진행중인 건</v>
          </cell>
          <cell r="ED5" t="str">
            <v>미확인/진행중인 건</v>
          </cell>
          <cell r="EE5" t="str">
            <v>미확인/진행중인 건</v>
          </cell>
          <cell r="EF5" t="str">
            <v>미확인/진행중인 건</v>
          </cell>
          <cell r="EG5" t="str">
            <v>미확인/진행중인 건</v>
          </cell>
          <cell r="EH5" t="str">
            <v>미확인/진행중인 건</v>
          </cell>
          <cell r="EI5" t="str">
            <v>미확인/진행중인 건</v>
          </cell>
          <cell r="EJ5" t="str">
            <v>미확인/진행중인 건</v>
          </cell>
          <cell r="EK5" t="str">
            <v>미확인/진행중인 건</v>
          </cell>
          <cell r="EL5" t="str">
            <v>미확인/진행중인 건</v>
          </cell>
          <cell r="EM5" t="str">
            <v>미확인/진행중인 건</v>
          </cell>
          <cell r="EN5" t="str">
            <v>미확인/진행중인 건</v>
          </cell>
          <cell r="EO5" t="str">
            <v>미확인/진행중인 건</v>
          </cell>
          <cell r="EP5" t="str">
            <v>미확인/진행중인 건</v>
          </cell>
          <cell r="EQ5" t="str">
            <v>미확인/진행중인 건</v>
          </cell>
          <cell r="ER5" t="str">
            <v>미확인/진행중인 건</v>
          </cell>
          <cell r="ES5" t="str">
            <v>미확인/진행중인 건</v>
          </cell>
          <cell r="ET5" t="str">
            <v>미확인/진행중인 건</v>
          </cell>
          <cell r="EU5" t="str">
            <v>미확인/진행중인 건</v>
          </cell>
          <cell r="EV5" t="str">
            <v>미확인/진행중인 건</v>
          </cell>
          <cell r="EW5" t="str">
            <v>미확인/진행중인 건</v>
          </cell>
          <cell r="EX5" t="str">
            <v>미확인/진행중인 건</v>
          </cell>
          <cell r="EY5" t="str">
            <v>미확인/진행중인 건</v>
          </cell>
          <cell r="EZ5" t="str">
            <v>*매각결렬</v>
          </cell>
          <cell r="FA5" t="str">
            <v>미확인/진행중인 건</v>
          </cell>
          <cell r="FB5" t="str">
            <v>미확인/진행중인 건</v>
          </cell>
          <cell r="FC5" t="str">
            <v>미확인/진행중인 건</v>
          </cell>
          <cell r="FD5" t="str">
            <v>미확인/진행중인 건</v>
          </cell>
          <cell r="FE5" t="str">
            <v>미확인/진행중인 건</v>
          </cell>
          <cell r="FF5" t="str">
            <v>미확인/진행중인 건</v>
          </cell>
          <cell r="FG5" t="str">
            <v>미확인/진행중인 건</v>
          </cell>
          <cell r="FH5" t="str">
            <v>미확인/진행중인 건</v>
          </cell>
          <cell r="FI5" t="str">
            <v>미확인/진행중인 건</v>
          </cell>
          <cell r="FJ5" t="str">
            <v>미확인/진행중인 건</v>
          </cell>
          <cell r="FK5" t="str">
            <v>미확인/진행중인 건</v>
          </cell>
          <cell r="FL5" t="str">
            <v>미확인/진행중인 건</v>
          </cell>
          <cell r="FM5" t="str">
            <v>미확인/진행중인 건</v>
          </cell>
          <cell r="FN5" t="str">
            <v>미확인/진행중인 건</v>
          </cell>
          <cell r="FO5" t="str">
            <v>미확인/진행중인 건</v>
          </cell>
        </row>
        <row r="6">
          <cell r="B6" t="str">
            <v>위도</v>
          </cell>
          <cell r="C6">
            <v>37.5061904426748</v>
          </cell>
          <cell r="D6">
            <v>37.562314299999997</v>
          </cell>
          <cell r="E6">
            <v>37.507964200782901</v>
          </cell>
          <cell r="F6">
            <v>37.5252591</v>
          </cell>
          <cell r="G6">
            <v>37.494219000000001</v>
          </cell>
          <cell r="H6">
            <v>37.569733399999997</v>
          </cell>
          <cell r="I6">
            <v>37.562192000000003</v>
          </cell>
          <cell r="J6">
            <v>37.556370100000002</v>
          </cell>
          <cell r="K6">
            <v>37.562420500000002</v>
          </cell>
          <cell r="L6">
            <v>37.527624099999997</v>
          </cell>
          <cell r="M6">
            <v>37.5290702</v>
          </cell>
          <cell r="N6">
            <v>37.394220699999998</v>
          </cell>
          <cell r="O6">
            <v>37.4994418</v>
          </cell>
          <cell r="P6">
            <v>37.499273299999999</v>
          </cell>
          <cell r="Q6">
            <v>37.559623500000001</v>
          </cell>
          <cell r="R6">
            <v>37.5404877</v>
          </cell>
          <cell r="S6">
            <v>37.540222900000003</v>
          </cell>
          <cell r="T6">
            <v>37.570698200000002</v>
          </cell>
          <cell r="U6">
            <v>37.568892200000001</v>
          </cell>
          <cell r="V6">
            <v>37.5373819</v>
          </cell>
          <cell r="W6">
            <v>37.395481400000001</v>
          </cell>
          <cell r="X6">
            <v>37.490330499999999</v>
          </cell>
          <cell r="Y6">
            <v>37.516327799999999</v>
          </cell>
          <cell r="Z6">
            <v>37.498390700000002</v>
          </cell>
          <cell r="AA6">
            <v>37.560076000000002</v>
          </cell>
          <cell r="AB6">
            <v>37.569681500000002</v>
          </cell>
          <cell r="AC6">
            <v>37.385131600000001</v>
          </cell>
          <cell r="AD6">
            <v>37.544468500000001</v>
          </cell>
          <cell r="AE6">
            <v>37.541882899999997</v>
          </cell>
          <cell r="AF6">
            <v>37.572662100000002</v>
          </cell>
          <cell r="AG6">
            <v>37.514633099999998</v>
          </cell>
          <cell r="AH6">
            <v>37.504769699999997</v>
          </cell>
          <cell r="AI6">
            <v>37.556506499999998</v>
          </cell>
          <cell r="AJ6">
            <v>37.556318900000001</v>
          </cell>
          <cell r="AK6">
            <v>37.568554499999998</v>
          </cell>
          <cell r="AL6">
            <v>37.4997343</v>
          </cell>
          <cell r="AM6">
            <v>37.502329600000003</v>
          </cell>
          <cell r="AN6">
            <v>37.509373400000001</v>
          </cell>
          <cell r="AO6">
            <v>37.574605599999998</v>
          </cell>
          <cell r="AP6">
            <v>37.506365899999999</v>
          </cell>
          <cell r="AQ6">
            <v>37.483231799999999</v>
          </cell>
          <cell r="AR6">
            <v>37.574549599999997</v>
          </cell>
          <cell r="AS6">
            <v>37.507745</v>
          </cell>
          <cell r="AT6">
            <v>37.563094800000002</v>
          </cell>
          <cell r="AU6">
            <v>37.5673772295102</v>
          </cell>
          <cell r="AV6">
            <v>37.397459592628898</v>
          </cell>
          <cell r="AW6">
            <v>37.565110300000001</v>
          </cell>
          <cell r="AX6">
            <v>37.567142407589799</v>
          </cell>
          <cell r="AY6">
            <v>37.529874923419399</v>
          </cell>
          <cell r="AZ6">
            <v>37.496031299999999</v>
          </cell>
          <cell r="BA6">
            <v>37.522279099999999</v>
          </cell>
          <cell r="BB6">
            <v>37.567877199999998</v>
          </cell>
          <cell r="BC6">
            <v>37.567598400000001</v>
          </cell>
          <cell r="BD6">
            <v>37.566734799999999</v>
          </cell>
          <cell r="BE6">
            <v>37.519439900000002</v>
          </cell>
          <cell r="BF6">
            <v>37.5004317</v>
          </cell>
          <cell r="BG6">
            <v>37.493112403830303</v>
          </cell>
          <cell r="BH6">
            <v>37.567667627540203</v>
          </cell>
          <cell r="BI6">
            <v>37.5651023</v>
          </cell>
          <cell r="BJ6">
            <v>37.560467899999999</v>
          </cell>
          <cell r="BK6">
            <v>37.505883699999998</v>
          </cell>
          <cell r="BL6">
            <v>37.4951044392621</v>
          </cell>
          <cell r="BM6">
            <v>37.561641735959803</v>
          </cell>
          <cell r="BN6">
            <v>37.562874489517299</v>
          </cell>
          <cell r="BO6">
            <v>37.524036003967403</v>
          </cell>
          <cell r="BP6">
            <v>37.400695444331099</v>
          </cell>
          <cell r="BS6">
            <v>37.523177662972003</v>
          </cell>
          <cell r="BT6">
            <v>37.483541656397399</v>
          </cell>
          <cell r="BU6">
            <v>37.484894693735399</v>
          </cell>
          <cell r="BV6">
            <v>37.501022364370002</v>
          </cell>
          <cell r="BW6">
            <v>37.570617760738301</v>
          </cell>
          <cell r="BX6">
            <v>37.574167495790398</v>
          </cell>
          <cell r="BY6">
            <v>37.551671386373499</v>
          </cell>
          <cell r="BZ6">
            <v>37.552025522414198</v>
          </cell>
          <cell r="CA6">
            <v>37.387402523903603</v>
          </cell>
          <cell r="CB6">
            <v>37.494219000000001</v>
          </cell>
          <cell r="CC6">
            <v>37.496645999999998</v>
          </cell>
          <cell r="CD6">
            <v>37.501592956618801</v>
          </cell>
          <cell r="CE6">
            <v>37.500117846406397</v>
          </cell>
          <cell r="CF6">
            <v>37.563941999999997</v>
          </cell>
          <cell r="CG6">
            <v>37.575031765843903</v>
          </cell>
          <cell r="CH6">
            <v>37.561308954926297</v>
          </cell>
          <cell r="CI6">
            <v>37.507815800000003</v>
          </cell>
          <cell r="CJ6">
            <v>37.566921100000002</v>
          </cell>
          <cell r="CK6">
            <v>37.507627599999999</v>
          </cell>
          <cell r="CL6">
            <v>37.498746400000002</v>
          </cell>
          <cell r="CM6">
            <v>37.515784799999999</v>
          </cell>
          <cell r="CN6">
            <v>37.561836242675803</v>
          </cell>
          <cell r="CQ6">
            <v>37.5079944172601</v>
          </cell>
          <cell r="CR6">
            <v>37.501432800000003</v>
          </cell>
          <cell r="CS6">
            <v>37.567599999999999</v>
          </cell>
          <cell r="CT6">
            <v>37.568873000000004</v>
          </cell>
          <cell r="CU6">
            <v>37.500419616699197</v>
          </cell>
          <cell r="CV6">
            <v>37.567684173583999</v>
          </cell>
          <cell r="CW6">
            <v>37.507694000000001</v>
          </cell>
          <cell r="CX6">
            <v>37.544189453125</v>
          </cell>
          <cell r="CY6">
            <v>37.524061000000003</v>
          </cell>
          <cell r="CZ6">
            <v>37.569347381591797</v>
          </cell>
          <cell r="DC6">
            <v>37.496250199999999</v>
          </cell>
          <cell r="DD6">
            <v>37.5554652</v>
          </cell>
          <cell r="DE6">
            <v>37.513385772705099</v>
          </cell>
          <cell r="DF6">
            <v>-8.7699260711669904</v>
          </cell>
          <cell r="DG6">
            <v>37.560710800000003</v>
          </cell>
          <cell r="DJ6">
            <v>37.514901199999997</v>
          </cell>
          <cell r="DO6">
            <v>37.506337335576298</v>
          </cell>
          <cell r="DP6">
            <v>37.5179689</v>
          </cell>
          <cell r="DQ6">
            <v>37.493116200000003</v>
          </cell>
          <cell r="DR6">
            <v>37.525905700000003</v>
          </cell>
          <cell r="DS6">
            <v>37.502977299999998</v>
          </cell>
          <cell r="DT6">
            <v>37.496722800000001</v>
          </cell>
          <cell r="DU6">
            <v>37.478503600000003</v>
          </cell>
          <cell r="DV6">
            <v>37.503832000000003</v>
          </cell>
          <cell r="DW6">
            <v>37.525905700000003</v>
          </cell>
          <cell r="DX6">
            <v>37.487326793774798</v>
          </cell>
          <cell r="DY6">
            <v>37.463395279669697</v>
          </cell>
          <cell r="DZ6">
            <v>37.567421931903297</v>
          </cell>
          <cell r="ED6">
            <v>37.567421931903297</v>
          </cell>
          <cell r="EE6">
            <v>37.567421931903297</v>
          </cell>
          <cell r="EM6">
            <v>37.564189414033798</v>
          </cell>
          <cell r="EN6">
            <v>37.568814125720898</v>
          </cell>
          <cell r="EO6">
            <v>37.573047412487199</v>
          </cell>
          <cell r="EP6">
            <v>37.568427716471199</v>
          </cell>
          <cell r="EQ6">
            <v>37.5748429</v>
          </cell>
          <cell r="ER6">
            <v>37.525905700000003</v>
          </cell>
          <cell r="ES6">
            <v>37.560136399999998</v>
          </cell>
          <cell r="ET6">
            <v>37.567079700000001</v>
          </cell>
          <cell r="EU6">
            <v>37.563022500000002</v>
          </cell>
          <cell r="EV6">
            <v>37.567143100000003</v>
          </cell>
          <cell r="EW6">
            <v>37.5538369</v>
          </cell>
          <cell r="EX6">
            <v>37.5538369</v>
          </cell>
          <cell r="EZ6">
            <v>37.524500799999998</v>
          </cell>
          <cell r="FM6">
            <v>37.582360433326897</v>
          </cell>
          <cell r="FN6">
            <v>37.537244899999997</v>
          </cell>
          <cell r="FO6">
            <v>37.482099499999997</v>
          </cell>
        </row>
        <row r="7">
          <cell r="B7" t="str">
            <v>경도</v>
          </cell>
          <cell r="C7">
            <v>127.063717235635</v>
          </cell>
          <cell r="D7">
            <v>126.9726146</v>
          </cell>
          <cell r="E7">
            <v>127.061603856099</v>
          </cell>
          <cell r="F7">
            <v>127.05298670000001</v>
          </cell>
          <cell r="G7">
            <v>127.0303536</v>
          </cell>
          <cell r="H7">
            <v>126.9731527</v>
          </cell>
          <cell r="I7">
            <v>126.9732468</v>
          </cell>
          <cell r="J7">
            <v>126.9760605</v>
          </cell>
          <cell r="K7">
            <v>126.9811765</v>
          </cell>
          <cell r="L7">
            <v>126.9688561</v>
          </cell>
          <cell r="M7">
            <v>126.9180817</v>
          </cell>
          <cell r="N7">
            <v>127.1103504</v>
          </cell>
          <cell r="O7">
            <v>127.033609</v>
          </cell>
          <cell r="P7">
            <v>127.0292692</v>
          </cell>
          <cell r="Q7">
            <v>126.9789368</v>
          </cell>
          <cell r="R7">
            <v>126.972639</v>
          </cell>
          <cell r="S7">
            <v>126.9701061</v>
          </cell>
          <cell r="T7">
            <v>126.9805671</v>
          </cell>
          <cell r="U7">
            <v>126.97076300000001</v>
          </cell>
          <cell r="V7">
            <v>126.89287179999999</v>
          </cell>
          <cell r="W7">
            <v>127.11214080000001</v>
          </cell>
          <cell r="X7">
            <v>127.00577149999999</v>
          </cell>
          <cell r="Y7">
            <v>127.10045529999999</v>
          </cell>
          <cell r="Z7">
            <v>127.0309752</v>
          </cell>
          <cell r="AA7">
            <v>126.9731038</v>
          </cell>
          <cell r="AB7">
            <v>126.9763031</v>
          </cell>
          <cell r="AC7">
            <v>127.1218981</v>
          </cell>
          <cell r="AD7">
            <v>127.0606162</v>
          </cell>
          <cell r="AE7">
            <v>127.04496899999999</v>
          </cell>
          <cell r="AF7">
            <v>126.9810926</v>
          </cell>
          <cell r="AG7">
            <v>127.1025475</v>
          </cell>
          <cell r="AH7">
            <v>127.0512719</v>
          </cell>
          <cell r="AI7">
            <v>126.9752051</v>
          </cell>
          <cell r="AJ7">
            <v>126.97448660000001</v>
          </cell>
          <cell r="AK7">
            <v>126.9801781</v>
          </cell>
          <cell r="AL7">
            <v>127.03496370000001</v>
          </cell>
          <cell r="AM7">
            <v>127.04447039999999</v>
          </cell>
          <cell r="AN7">
            <v>127.0576999</v>
          </cell>
          <cell r="AO7">
            <v>126.9809788</v>
          </cell>
          <cell r="AP7">
            <v>127.0536683</v>
          </cell>
          <cell r="AQ7">
            <v>127.0211903</v>
          </cell>
          <cell r="AR7">
            <v>126.9979579</v>
          </cell>
          <cell r="AS7">
            <v>127.0555549</v>
          </cell>
          <cell r="AT7">
            <v>126.9752101</v>
          </cell>
          <cell r="AU7">
            <v>126.986576065264</v>
          </cell>
          <cell r="AV7">
            <v>127.11004804479499</v>
          </cell>
          <cell r="AW7">
            <v>126.9828407</v>
          </cell>
          <cell r="AX7">
            <v>126.98114033364401</v>
          </cell>
          <cell r="AY7">
            <v>126.925916908034</v>
          </cell>
          <cell r="AZ7">
            <v>127.0260825</v>
          </cell>
          <cell r="BA7">
            <v>126.9296647</v>
          </cell>
          <cell r="BB7">
            <v>126.978787</v>
          </cell>
          <cell r="BC7">
            <v>126.97097220000001</v>
          </cell>
          <cell r="BD7">
            <v>126.9664061</v>
          </cell>
          <cell r="BE7">
            <v>126.9283921</v>
          </cell>
          <cell r="BF7">
            <v>127.0339962</v>
          </cell>
          <cell r="BG7">
            <v>127.04126781381601</v>
          </cell>
          <cell r="BH7">
            <v>126.989289900814</v>
          </cell>
          <cell r="BI7">
            <v>126.9870123</v>
          </cell>
          <cell r="BJ7">
            <v>126.9841691</v>
          </cell>
          <cell r="BK7">
            <v>127.05215149999999</v>
          </cell>
          <cell r="BL7">
            <v>127.02844493228</v>
          </cell>
          <cell r="BM7">
            <v>126.99111458993799</v>
          </cell>
          <cell r="BN7">
            <v>126.971716755082</v>
          </cell>
          <cell r="BO7">
            <v>126.924529763252</v>
          </cell>
          <cell r="BP7">
            <v>127.10698870959899</v>
          </cell>
          <cell r="BS7">
            <v>126.925450104387</v>
          </cell>
          <cell r="BT7">
            <v>127.017676100063</v>
          </cell>
          <cell r="BU7">
            <v>126.896539890577</v>
          </cell>
          <cell r="BV7">
            <v>127.039885329906</v>
          </cell>
          <cell r="BW7">
            <v>126.97296634437799</v>
          </cell>
          <cell r="BX7">
            <v>126.98131515678099</v>
          </cell>
          <cell r="BY7">
            <v>126.97321004901499</v>
          </cell>
          <cell r="BZ7">
            <v>126.916683666284</v>
          </cell>
          <cell r="CA7">
            <v>127.12495970275199</v>
          </cell>
          <cell r="CB7">
            <v>127.0303536</v>
          </cell>
          <cell r="CC7">
            <v>127.02512919999999</v>
          </cell>
          <cell r="CD7">
            <v>127.037736319636</v>
          </cell>
          <cell r="CE7">
            <v>127.03220096278</v>
          </cell>
          <cell r="CF7">
            <v>127.00327780000001</v>
          </cell>
          <cell r="CG7">
            <v>127.000524809065</v>
          </cell>
          <cell r="CH7">
            <v>126.97303048702599</v>
          </cell>
          <cell r="CI7">
            <v>127.0581852</v>
          </cell>
          <cell r="CJ7">
            <v>126.9839643</v>
          </cell>
          <cell r="CK7">
            <v>127.0577131</v>
          </cell>
          <cell r="CL7">
            <v>127.03169</v>
          </cell>
          <cell r="CM7">
            <v>127.0990948</v>
          </cell>
          <cell r="CN7">
            <v>126.98968505859401</v>
          </cell>
          <cell r="CQ7">
            <v>127.05649134637601</v>
          </cell>
          <cell r="CR7">
            <v>127.04038199999999</v>
          </cell>
          <cell r="CS7">
            <v>126.9881</v>
          </cell>
          <cell r="CT7">
            <v>126.978205</v>
          </cell>
          <cell r="CU7">
            <v>127.02418518066401</v>
          </cell>
          <cell r="CV7">
            <v>126.991943359375</v>
          </cell>
          <cell r="CW7">
            <v>127.057343</v>
          </cell>
          <cell r="CX7">
            <v>127.05443572998</v>
          </cell>
          <cell r="CY7">
            <v>126.92599800000001</v>
          </cell>
          <cell r="CZ7">
            <v>126.971509575844</v>
          </cell>
          <cell r="DC7">
            <v>127.02881259999999</v>
          </cell>
          <cell r="DD7">
            <v>126.9737482</v>
          </cell>
          <cell r="DE7">
            <v>127.035026550293</v>
          </cell>
          <cell r="DF7">
            <v>-3.0552113056182901</v>
          </cell>
          <cell r="DG7">
            <v>126.9724753</v>
          </cell>
          <cell r="DJ7">
            <v>127.06231579999999</v>
          </cell>
          <cell r="DO7">
            <v>127.040328226317</v>
          </cell>
          <cell r="DP7">
            <v>127.0250458</v>
          </cell>
          <cell r="DQ7">
            <v>127.0412839</v>
          </cell>
          <cell r="DR7">
            <v>126.967659</v>
          </cell>
          <cell r="DS7">
            <v>127.046553</v>
          </cell>
          <cell r="DT7">
            <v>127.02458439999999</v>
          </cell>
          <cell r="DU7">
            <v>127.00619589999999</v>
          </cell>
          <cell r="DV7">
            <v>127.0448473</v>
          </cell>
          <cell r="DW7">
            <v>126.967659</v>
          </cell>
          <cell r="DX7">
            <v>127.10314008188701</v>
          </cell>
          <cell r="DY7">
            <v>127.037013361398</v>
          </cell>
          <cell r="DZ7">
            <v>126.985178368939</v>
          </cell>
          <cell r="ED7">
            <v>126.985178368939</v>
          </cell>
          <cell r="EE7">
            <v>126.985178368939</v>
          </cell>
          <cell r="EM7">
            <v>126.983062193942</v>
          </cell>
          <cell r="EN7">
            <v>127.008752353996</v>
          </cell>
          <cell r="EO7">
            <v>126.97430348996301</v>
          </cell>
          <cell r="EP7">
            <v>126.977739578862</v>
          </cell>
          <cell r="EQ7">
            <v>126.97291869999999</v>
          </cell>
          <cell r="ER7">
            <v>126.967659</v>
          </cell>
          <cell r="ES7">
            <v>126.9622536</v>
          </cell>
          <cell r="ET7">
            <v>126.9894098</v>
          </cell>
          <cell r="EU7">
            <v>126.9757401</v>
          </cell>
          <cell r="EV7">
            <v>126.98034370000001</v>
          </cell>
          <cell r="EW7">
            <v>126.97578420000001</v>
          </cell>
          <cell r="EX7">
            <v>126.97578420000001</v>
          </cell>
          <cell r="EZ7">
            <v>126.92378530000001</v>
          </cell>
          <cell r="FM7">
            <v>126.888427988719</v>
          </cell>
          <cell r="FN7">
            <v>127.13199059999999</v>
          </cell>
          <cell r="FO7">
            <v>126.98144600000001</v>
          </cell>
        </row>
        <row r="10">
          <cell r="B10" t="str">
            <v>Building Name</v>
          </cell>
          <cell r="C10" t="str">
            <v>오토웨이 빌딩</v>
          </cell>
          <cell r="D10" t="str">
            <v>서소문 J&amp;M 빌딩 (중앙빌딩)</v>
          </cell>
          <cell r="E10" t="str">
            <v>삼성 대세 빌딩</v>
          </cell>
          <cell r="F10" t="str">
            <v>청담동 세신 빌딩</v>
          </cell>
          <cell r="G10" t="str">
            <v>Scale Tower (Tiger 318)</v>
          </cell>
          <cell r="H10" t="str">
            <v>Concordian Building</v>
          </cell>
          <cell r="I10" t="str">
            <v>Seosomun Donghwa Building</v>
          </cell>
          <cell r="J10" t="str">
            <v>Namsan Green Building</v>
          </cell>
          <cell r="K10" t="str">
            <v>BOK Sogong Ancilliary Building</v>
          </cell>
          <cell r="L10" t="str">
            <v>Asterium Yongsan</v>
          </cell>
          <cell r="M10" t="str">
            <v>Hyundai Card Building 1BL</v>
          </cell>
          <cell r="N10" t="str">
            <v>Pangyo Alphadom Tower (6-3BL)</v>
          </cell>
          <cell r="O10" t="str">
            <v>Posco Tower Yeoksam</v>
          </cell>
          <cell r="P10" t="str">
            <v>Gangnam KG Tower</v>
          </cell>
          <cell r="Q10" t="str">
            <v>Sambu Building</v>
          </cell>
          <cell r="R10" t="str">
            <v>HJ Heavy Industry Seoul HQ Building</v>
          </cell>
          <cell r="S10" t="str">
            <v>Yongsan The Prime Tower</v>
          </cell>
          <cell r="T10" t="str">
            <v>Tower 8</v>
          </cell>
          <cell r="U10" t="str">
            <v>Citi Bank Center Korea</v>
          </cell>
          <cell r="V10" t="str">
            <v>Lotte Homeshoping Yangpyeong-dong HQ</v>
          </cell>
          <cell r="W10" t="str">
            <v>Pangyo Techone Tower (6-2BL)</v>
          </cell>
          <cell r="X10" t="str">
            <v>Majestar Tower 1</v>
          </cell>
          <cell r="Y10" t="str">
            <v>Samsung SDS Tower</v>
          </cell>
          <cell r="Z10" t="str">
            <v>Centerpoint Gangnam</v>
          </cell>
          <cell r="AA10" t="str">
            <v>HSBC Building</v>
          </cell>
          <cell r="AB10" t="str">
            <v>Gwanghwamun Building</v>
          </cell>
          <cell r="AC10" t="str">
            <v>Bundang Seohyun Building</v>
          </cell>
          <cell r="AD10" t="str">
            <v>Musinsa Campus E1</v>
          </cell>
          <cell r="AE10" t="str">
            <v>Megabox Square Seongsu</v>
          </cell>
          <cell r="AF10" t="str">
            <v>Gwanghwamun G Tower</v>
          </cell>
          <cell r="AG10" t="str">
            <v>Jamsil Sigma Tower</v>
          </cell>
          <cell r="AH10" t="str">
            <v>T412</v>
          </cell>
          <cell r="AI10" t="str">
            <v>Seoulro Tower</v>
          </cell>
          <cell r="AJ10" t="str">
            <v>Metro Tower</v>
          </cell>
          <cell r="AK10" t="str">
            <v>K Square City</v>
          </cell>
          <cell r="AL10" t="str">
            <v>Arc Place</v>
          </cell>
          <cell r="AM10" t="str">
            <v>Icon Yeoksam</v>
          </cell>
          <cell r="AN10" t="str">
            <v>DB Samsungdong Building</v>
          </cell>
          <cell r="AO10" t="str">
            <v>Susong Square</v>
          </cell>
          <cell r="AP10" t="str">
            <v>Seoulleung WeWork Tower</v>
          </cell>
          <cell r="AQ10" t="str">
            <v>JW Tower (GS E&amp;C Seocho Tower)</v>
          </cell>
          <cell r="AR10" t="str">
            <v>Boyrung Building</v>
          </cell>
          <cell r="AS10" t="str">
            <v>Golden Tower</v>
          </cell>
          <cell r="AT10" t="str">
            <v>City Square Building</v>
          </cell>
          <cell r="AU10" t="str">
            <v>Hanhwa HQ (Block 1: Office)</v>
          </cell>
          <cell r="AV10" t="str">
            <v>Samsung Fire &amp; Marine Insurance Building</v>
          </cell>
          <cell r="AW10" t="str">
            <v>명동N빌딩 (명동SK네트웍스빌딩)</v>
          </cell>
          <cell r="AX10" t="str">
            <v>Fastfive Tower</v>
          </cell>
          <cell r="AY10" t="str">
            <v>Taeyoung HQ</v>
          </cell>
          <cell r="AZ10" t="str">
            <v>The Asset Gangnam</v>
          </cell>
          <cell r="BA10" t="str">
            <v>Mirae Asset Yeouido HQ</v>
          </cell>
          <cell r="BB10" t="str">
            <v>The Exchange Seoul + The Exchange Seoul Mall</v>
          </cell>
          <cell r="BC10" t="str">
            <v>Jeongdong Building</v>
          </cell>
          <cell r="BD10" t="str">
            <v>D Tower Donuimun</v>
          </cell>
          <cell r="BE10" t="str">
            <v>NH Nonghyup Capital Building</v>
          </cell>
          <cell r="BF10" t="str">
            <v>KOREIT Tower</v>
          </cell>
          <cell r="BG10" t="str">
            <v>Yeoksam YK Building</v>
          </cell>
          <cell r="BH10" t="str">
            <v>Crystal Square</v>
          </cell>
          <cell r="BI10" t="str">
            <v>Daeshin 343 Finance Building</v>
          </cell>
          <cell r="BJ10" t="str">
            <v>Seoul N Square (Pizer Tower)</v>
          </cell>
          <cell r="BK10" t="str">
            <v>Gangnam Finance Plaza</v>
          </cell>
          <cell r="BL10" t="str">
            <v>363 Gangnam Tower</v>
          </cell>
          <cell r="BM10" t="str">
            <v>Namsan Square Building</v>
          </cell>
          <cell r="BN10" t="str">
            <v>Jeongan Building</v>
          </cell>
          <cell r="BO10" t="str">
            <v>Yeouido Hyundai Motors Secuties Building</v>
          </cell>
          <cell r="BP10" t="str">
            <v>Pangyo Techno Valley USpace I (U706)</v>
          </cell>
          <cell r="BQ10" t="str">
            <v>Magok Onegrove</v>
          </cell>
          <cell r="BR10" t="str">
            <v>Le West City (A,B)</v>
          </cell>
          <cell r="BS10" t="str">
            <v>Shin Song Center Building</v>
          </cell>
          <cell r="BT10" t="str">
            <v>Hite Jinro Seocho HQ</v>
          </cell>
          <cell r="BU10" t="str">
            <v>G-Valley Biz Plaza</v>
          </cell>
          <cell r="BV10" t="str">
            <v>Gangnam Taegwang Tower</v>
          </cell>
          <cell r="BW10" t="str">
            <v>Crescendo Building</v>
          </cell>
          <cell r="BX10" t="str">
            <v>Susong Square</v>
          </cell>
          <cell r="BY10" t="str">
            <v>KDB Life Tower</v>
          </cell>
          <cell r="BZ10" t="str">
            <v>H-Square</v>
          </cell>
          <cell r="CA10" t="str">
            <v>SD Biosensor Inc Bundang Building</v>
          </cell>
          <cell r="CB10" t="str">
            <v>Scale Tower (Tiger 318)</v>
          </cell>
          <cell r="CC10" t="str">
            <v>BNK Digital Tower</v>
          </cell>
          <cell r="CD10" t="str">
            <v>Seoul International (SI) Tower (ex ING Tower)</v>
          </cell>
          <cell r="CE10" t="str">
            <v>Gangnam N Tower</v>
          </cell>
          <cell r="CF10" t="str">
            <v>CJ Cheil Building</v>
          </cell>
          <cell r="CG10" t="str">
            <v>Hyundai Group Yeonji-dong HQ</v>
          </cell>
          <cell r="CH10" t="str">
            <v>Pacific Tower</v>
          </cell>
          <cell r="CI10" t="str">
            <v>NC Tower 1</v>
          </cell>
          <cell r="CJ10" t="str">
            <v>Ferrum Tower</v>
          </cell>
          <cell r="CK10" t="str">
            <v>WeWork Building</v>
          </cell>
          <cell r="CL10" t="str">
            <v>Samwon Tower (B2-5 &amp; 11-20 FL)</v>
          </cell>
          <cell r="CM10" t="str">
            <v>Tower730</v>
          </cell>
          <cell r="CN10" t="str">
            <v>Namsan N Tower</v>
          </cell>
          <cell r="CO10" t="str">
            <v>Centerpoint Gwanghwamun</v>
          </cell>
          <cell r="CP10" t="str">
            <v>Heungkuk Life Insurance Building</v>
          </cell>
          <cell r="CQ10" t="str">
            <v>Samsung Dong Building (Interpark Building)</v>
          </cell>
          <cell r="CR10" t="str">
            <v>AP Tower (2 other land lots)</v>
          </cell>
          <cell r="CS10" t="str">
            <v>Signature Tower</v>
          </cell>
          <cell r="CT10" t="str">
            <v>Premier Place</v>
          </cell>
          <cell r="CU10" t="str">
            <v>S1310 Building</v>
          </cell>
          <cell r="CV10" t="str">
            <v>One X</v>
          </cell>
          <cell r="CW10" t="str">
            <v>505 Tower</v>
          </cell>
          <cell r="CX10" t="str">
            <v>Factorial Seongsu</v>
          </cell>
          <cell r="CY10" t="str">
            <v>Citi Plaza</v>
          </cell>
          <cell r="CZ10" t="str">
            <v>LX Gwanghwamun Building</v>
          </cell>
          <cell r="DA10" t="str">
            <v>Humax Village Building</v>
          </cell>
          <cell r="DB10" t="str">
            <v>Bundang Doosan Tower</v>
          </cell>
          <cell r="DC10" t="str">
            <v>K Square Gangnam Ⅱ</v>
          </cell>
          <cell r="DD10" t="str">
            <v>Seoul Square</v>
          </cell>
          <cell r="DE10" t="str">
            <v>Cykan Tower</v>
          </cell>
          <cell r="DF10" t="str">
            <v>Hana Securities Building HQ</v>
          </cell>
          <cell r="DG10" t="str">
            <v>Emart Tower (Orange Center)</v>
          </cell>
          <cell r="DJ10" t="str">
            <v>SK Shieldus HQ</v>
          </cell>
          <cell r="DK10" t="str">
            <v>Samwon Tower</v>
          </cell>
          <cell r="DL10" t="str">
            <v>Doosan Construction HQ</v>
          </cell>
          <cell r="DM10" t="str">
            <v>Samwon Tower</v>
          </cell>
          <cell r="DN10" t="str">
            <v>AP Tower</v>
          </cell>
          <cell r="DO10" t="str">
            <v>F&amp;F HQ Building</v>
          </cell>
          <cell r="DP10" t="str">
            <v>Dosan 150</v>
          </cell>
          <cell r="DQ10" t="str">
            <v>Yeoksam YK Building</v>
          </cell>
          <cell r="DR10" t="str">
            <v>Centerpoint Seocho</v>
          </cell>
          <cell r="DS10" t="str">
            <v>Hanshin Intervalley 24</v>
          </cell>
          <cell r="DT10" t="str">
            <v>Seocho Gangnam Building</v>
          </cell>
          <cell r="DU10" t="str">
            <v>Bangbae Building</v>
          </cell>
          <cell r="DV10" t="str">
            <v xml:space="preserve"> Anam Tower</v>
          </cell>
          <cell r="DW10" t="str">
            <v>HANA Financial Group Gangnam HQ</v>
          </cell>
          <cell r="DX10" t="str">
            <v>Suseo Rosedale Building</v>
          </cell>
          <cell r="DY10" t="str">
            <v>Hibrand Yangjae (Office)</v>
          </cell>
          <cell r="DZ10" t="str">
            <v>Mirae Asset Center 1</v>
          </cell>
          <cell r="EA10" t="str">
            <v>남산소월타워 (옛 SK남산그린빌딩)</v>
          </cell>
          <cell r="EB10" t="str">
            <v>City Center Tower</v>
          </cell>
          <cell r="EC10" t="str">
            <v>Gwanghwamun G Square (ex. New Gukje Hotel)</v>
          </cell>
          <cell r="ED10" t="str">
            <v>Westgate Tower</v>
          </cell>
          <cell r="EE10" t="str">
            <v>프리미어플레이스</v>
          </cell>
          <cell r="EF10" t="str">
            <v>Namsan Soweoul Tower</v>
          </cell>
          <cell r="EG10" t="str">
            <v>Hana Insurance Jongro HQ</v>
          </cell>
          <cell r="EH10" t="str">
            <v>Eulji Twin Tower</v>
          </cell>
          <cell r="EI10" t="str">
            <v>Eteverse Tower</v>
          </cell>
          <cell r="EJ10" t="str">
            <v>Euljiro City Center Tower</v>
          </cell>
          <cell r="EK10" t="str">
            <v>Signature Tower</v>
          </cell>
          <cell r="EL10" t="str">
            <v>Orange Center</v>
          </cell>
          <cell r="EM10" t="str">
            <v>Timewalk Myeongdong</v>
          </cell>
          <cell r="EN10" t="str">
            <v>Doosan Tower</v>
          </cell>
          <cell r="EO10" t="str">
            <v>Centerpoint Gwanghwamun</v>
          </cell>
          <cell r="EP10" t="str">
            <v>Gwanghwamun Seoul Finance Center (SFC)</v>
          </cell>
          <cell r="EQ10" t="str">
            <v>Dovan Building</v>
          </cell>
          <cell r="ER10" t="str">
            <v>Yongsan Central Park Tower</v>
          </cell>
          <cell r="ES10" t="str">
            <v>Salvation Army Building</v>
          </cell>
          <cell r="ET10" t="str">
            <v>Eulji Finance Center (EFC)</v>
          </cell>
          <cell r="EU10" t="str">
            <v>Taepyeong-ro Building</v>
          </cell>
          <cell r="EV10" t="str">
            <v>Center Place</v>
          </cell>
          <cell r="EW10" t="str">
            <v>T Tower</v>
          </cell>
          <cell r="EX10" t="str">
            <v>Time Square (Block A, B)</v>
          </cell>
          <cell r="EY10" t="str">
            <v>HANA Securities HQ</v>
          </cell>
          <cell r="EZ10" t="str">
            <v>iM Securities Building (ex, Hi Investment &amp; Securities Building)</v>
          </cell>
          <cell r="FA10" t="str">
            <v>Pangyo Techone Tower</v>
          </cell>
          <cell r="FB10" t="str">
            <v>분당 도담빌딩</v>
          </cell>
          <cell r="FC10" t="str">
            <v>분당 지웰 푸르지오</v>
          </cell>
          <cell r="FD10" t="str">
            <v>후너스 빌딩</v>
          </cell>
          <cell r="FE10" t="str">
            <v>탑빌딩</v>
          </cell>
          <cell r="FF10" t="str">
            <v>티맥스 수내타워</v>
          </cell>
          <cell r="FG10" t="str">
            <v>Bundang Doosan Tower</v>
          </cell>
          <cell r="FH10" t="str">
            <v>Ksquare Hongdae</v>
          </cell>
          <cell r="FI10" t="str">
            <v>Musinsa Seongsu N1</v>
          </cell>
          <cell r="FJ10" t="str">
            <v>별정우체국연금관리단 본사</v>
          </cell>
          <cell r="FK10" t="str">
            <v>Le West City Tower (Block: C)</v>
          </cell>
          <cell r="FL10" t="str">
            <v>G Tower (Netmarble HQ)</v>
          </cell>
          <cell r="FM10" t="str">
            <v>Sangam-dong Digitial  Dream Tower</v>
          </cell>
          <cell r="FN10" t="str">
            <v>Gangdong East Central Tower</v>
          </cell>
          <cell r="FO10" t="str">
            <v>Ksquare Sadang</v>
          </cell>
        </row>
        <row r="35">
          <cell r="B35" t="str">
            <v>Transacted GFA (sq. m.)</v>
          </cell>
          <cell r="C35">
            <v>47721.19</v>
          </cell>
          <cell r="D35">
            <v>20132</v>
          </cell>
          <cell r="E35">
            <v>4642</v>
          </cell>
          <cell r="F35">
            <v>13576.29</v>
          </cell>
          <cell r="G35">
            <v>24699.45</v>
          </cell>
          <cell r="H35">
            <v>60695.5</v>
          </cell>
          <cell r="I35">
            <v>9138.94</v>
          </cell>
          <cell r="J35">
            <v>57574.54</v>
          </cell>
          <cell r="K35">
            <v>15665.59</v>
          </cell>
          <cell r="L35">
            <v>10130.578512396694</v>
          </cell>
          <cell r="M35">
            <v>37206.61</v>
          </cell>
          <cell r="N35">
            <v>87901.58</v>
          </cell>
          <cell r="O35">
            <v>21601.384999999998</v>
          </cell>
          <cell r="P35">
            <v>4641.636363636364</v>
          </cell>
          <cell r="Q35">
            <v>15260.2</v>
          </cell>
          <cell r="R35">
            <v>31787.22</v>
          </cell>
          <cell r="S35">
            <v>39009.800999999999</v>
          </cell>
          <cell r="T35">
            <v>48780</v>
          </cell>
          <cell r="U35">
            <v>19750.599999999999</v>
          </cell>
          <cell r="V35">
            <v>45419.49</v>
          </cell>
          <cell r="W35">
            <v>88914.299851999996</v>
          </cell>
          <cell r="X35">
            <v>46580.84</v>
          </cell>
          <cell r="Y35">
            <v>99536.94</v>
          </cell>
          <cell r="Z35">
            <v>27045.94</v>
          </cell>
          <cell r="AA35">
            <v>24812.07</v>
          </cell>
          <cell r="AB35">
            <v>3728.84</v>
          </cell>
          <cell r="AC35">
            <v>17439.25</v>
          </cell>
          <cell r="AD35">
            <v>18511.580000000002</v>
          </cell>
          <cell r="AE35">
            <v>24388.35</v>
          </cell>
          <cell r="AF35">
            <v>34747.199999999997</v>
          </cell>
          <cell r="AG35">
            <v>27814</v>
          </cell>
          <cell r="AH35">
            <v>26388.79</v>
          </cell>
          <cell r="AI35">
            <v>27897.5</v>
          </cell>
          <cell r="AJ35">
            <v>41139.629999999997</v>
          </cell>
          <cell r="AK35">
            <v>32730.6</v>
          </cell>
          <cell r="AL35">
            <v>62725.31</v>
          </cell>
          <cell r="AM35">
            <v>19579.63</v>
          </cell>
          <cell r="AN35">
            <v>8308.2000000000007</v>
          </cell>
          <cell r="AO35">
            <v>50313.04</v>
          </cell>
          <cell r="AP35">
            <v>15073.86</v>
          </cell>
          <cell r="AQ35">
            <v>29784.83</v>
          </cell>
          <cell r="AR35">
            <v>30600.799999999999</v>
          </cell>
          <cell r="AS35">
            <v>40480.06</v>
          </cell>
          <cell r="AT35">
            <v>38250.910000000003</v>
          </cell>
          <cell r="AU35">
            <v>74365.289999999994</v>
          </cell>
          <cell r="AV35">
            <v>17320.849999999999</v>
          </cell>
          <cell r="AW35">
            <v>13749.05</v>
          </cell>
          <cell r="AX35">
            <v>15098.38</v>
          </cell>
          <cell r="AY35">
            <v>40748.6</v>
          </cell>
          <cell r="AZ35">
            <v>81117.279999999999</v>
          </cell>
          <cell r="BA35">
            <v>39087.49</v>
          </cell>
          <cell r="BB35">
            <v>31021.35</v>
          </cell>
          <cell r="BC35">
            <v>39343.15</v>
          </cell>
          <cell r="BD35">
            <v>85453.540000000008</v>
          </cell>
          <cell r="BE35">
            <v>20700.61</v>
          </cell>
          <cell r="BF35">
            <v>34983.65</v>
          </cell>
          <cell r="BG35">
            <v>10875</v>
          </cell>
          <cell r="BH35">
            <v>18423</v>
          </cell>
          <cell r="BI35">
            <v>53369.33</v>
          </cell>
          <cell r="BJ35">
            <v>16367.6</v>
          </cell>
          <cell r="BK35">
            <v>24179.46</v>
          </cell>
          <cell r="BL35">
            <v>11384.43</v>
          </cell>
          <cell r="BM35">
            <v>75252.45</v>
          </cell>
          <cell r="BN35">
            <v>15755.04</v>
          </cell>
          <cell r="BO35">
            <v>40439.980000000003</v>
          </cell>
          <cell r="BP35">
            <v>136465.53</v>
          </cell>
          <cell r="BQ35">
            <v>313242.97520661156</v>
          </cell>
          <cell r="BR35">
            <v>97705.78512396694</v>
          </cell>
          <cell r="BS35">
            <v>14938.043848362187</v>
          </cell>
          <cell r="BT35">
            <v>27421</v>
          </cell>
          <cell r="BU35">
            <v>96639.42</v>
          </cell>
          <cell r="BV35">
            <v>17396.2</v>
          </cell>
          <cell r="BW35">
            <v>54672.32</v>
          </cell>
          <cell r="BX35">
            <v>50313.04</v>
          </cell>
          <cell r="BY35">
            <v>82434.52</v>
          </cell>
          <cell r="BZ35">
            <v>13933.49</v>
          </cell>
          <cell r="CA35">
            <v>13815.41</v>
          </cell>
          <cell r="CB35">
            <v>24699.45</v>
          </cell>
          <cell r="CC35">
            <v>37182.239999999998</v>
          </cell>
          <cell r="CD35">
            <v>66202.39</v>
          </cell>
          <cell r="CE35">
            <v>25563.154999999999</v>
          </cell>
          <cell r="CF35">
            <v>80385.289999999994</v>
          </cell>
          <cell r="CG35">
            <v>52476.31</v>
          </cell>
          <cell r="CH35">
            <v>59500.43</v>
          </cell>
          <cell r="CI35">
            <v>30912.95</v>
          </cell>
          <cell r="CJ35">
            <v>55694.62</v>
          </cell>
          <cell r="CK35">
            <v>20126.439999999999</v>
          </cell>
          <cell r="CL35">
            <v>18953.537522400002</v>
          </cell>
          <cell r="CM35">
            <v>80728.63</v>
          </cell>
          <cell r="CN35">
            <v>20867.7</v>
          </cell>
          <cell r="CO35">
            <v>38946.519999999997</v>
          </cell>
          <cell r="CP35">
            <v>72054.16</v>
          </cell>
          <cell r="CQ35">
            <v>30675.55</v>
          </cell>
          <cell r="CR35">
            <v>16785.560000000001</v>
          </cell>
          <cell r="CS35">
            <v>99997.1</v>
          </cell>
          <cell r="CT35">
            <v>16444.2</v>
          </cell>
          <cell r="CU35">
            <v>13752.85</v>
          </cell>
          <cell r="CV35">
            <v>172100</v>
          </cell>
          <cell r="CW35">
            <v>15453.23</v>
          </cell>
          <cell r="CX35">
            <v>21059.759999999998</v>
          </cell>
          <cell r="CY35">
            <v>14861.48</v>
          </cell>
          <cell r="CZ35">
            <v>51312.37</v>
          </cell>
          <cell r="DA35">
            <v>44594.71</v>
          </cell>
          <cell r="DB35">
            <v>128550.56</v>
          </cell>
          <cell r="DC35">
            <v>21942.18</v>
          </cell>
          <cell r="DD35">
            <v>132806.04999999999</v>
          </cell>
          <cell r="DE35">
            <v>12035.53</v>
          </cell>
          <cell r="DF35">
            <v>69826.48</v>
          </cell>
          <cell r="DG35">
            <v>34172.720000000001</v>
          </cell>
          <cell r="DJ35">
            <v>7462.93</v>
          </cell>
          <cell r="DK35">
            <v>24598.82</v>
          </cell>
          <cell r="DL35">
            <v>39874.160000000003</v>
          </cell>
          <cell r="DM35">
            <v>20682.560000000001</v>
          </cell>
          <cell r="DN35">
            <v>14457.58</v>
          </cell>
          <cell r="DO35">
            <v>13256.72</v>
          </cell>
          <cell r="DP35">
            <v>12624.27</v>
          </cell>
          <cell r="DQ35">
            <v>10875</v>
          </cell>
          <cell r="DR35">
            <v>12109.304402</v>
          </cell>
          <cell r="DS35">
            <v>6107.5000000000009</v>
          </cell>
          <cell r="DT35">
            <v>10716.769999999997</v>
          </cell>
          <cell r="DU35">
            <v>18650.27</v>
          </cell>
          <cell r="DV35">
            <v>15000.32</v>
          </cell>
          <cell r="DW35">
            <v>0</v>
          </cell>
          <cell r="DX35">
            <v>55462.62</v>
          </cell>
          <cell r="DY35">
            <v>28867.69</v>
          </cell>
          <cell r="DZ35">
            <v>84025.005000000005</v>
          </cell>
          <cell r="EA35">
            <v>57574.54</v>
          </cell>
          <cell r="EB35">
            <v>37266.449999999997</v>
          </cell>
          <cell r="EC35">
            <v>9519.39</v>
          </cell>
          <cell r="ED35">
            <v>30126.46</v>
          </cell>
          <cell r="EE35">
            <v>16444.2</v>
          </cell>
          <cell r="EF35">
            <v>57574.54</v>
          </cell>
          <cell r="EG35">
            <v>17098.509999999998</v>
          </cell>
          <cell r="EH35">
            <v>86445.58</v>
          </cell>
          <cell r="EI35">
            <v>45477.29</v>
          </cell>
          <cell r="EJ35">
            <v>37266.449999999997</v>
          </cell>
          <cell r="EK35">
            <v>99997.1</v>
          </cell>
          <cell r="EL35">
            <v>34172.720000000001</v>
          </cell>
          <cell r="EM35">
            <v>37285.89</v>
          </cell>
          <cell r="EN35">
            <v>122586.8</v>
          </cell>
          <cell r="EO35">
            <v>38946.524299999997</v>
          </cell>
          <cell r="EQ35">
            <v>13007.82</v>
          </cell>
          <cell r="ER35">
            <v>7693.77</v>
          </cell>
          <cell r="ES35">
            <v>31948.240000000002</v>
          </cell>
          <cell r="ET35">
            <v>64989.63</v>
          </cell>
          <cell r="EU35">
            <v>40001.800000000003</v>
          </cell>
          <cell r="EV35">
            <v>37936.200000000004</v>
          </cell>
          <cell r="EW35" t="e">
            <v>#VALUE!</v>
          </cell>
          <cell r="EX35">
            <v>39008.07</v>
          </cell>
          <cell r="EY35">
            <v>69826.48</v>
          </cell>
          <cell r="EZ35">
            <v>49826.17</v>
          </cell>
          <cell r="FA35">
            <v>197236.69</v>
          </cell>
          <cell r="FB35">
            <v>35820.17</v>
          </cell>
          <cell r="FG35">
            <v>128550.56</v>
          </cell>
          <cell r="FH35">
            <v>11146.37</v>
          </cell>
          <cell r="FI35">
            <v>19004.810000000001</v>
          </cell>
          <cell r="FJ35">
            <v>22647.06</v>
          </cell>
          <cell r="FL35">
            <v>172976.12</v>
          </cell>
          <cell r="FM35">
            <v>38075.800000000003</v>
          </cell>
          <cell r="FN35">
            <v>100422.77</v>
          </cell>
          <cell r="FO35">
            <v>21471.19</v>
          </cell>
        </row>
        <row r="37">
          <cell r="B37" t="str">
            <v>Consideration (KRW)</v>
          </cell>
          <cell r="C37">
            <v>595000000000</v>
          </cell>
          <cell r="D37">
            <v>290000000000</v>
          </cell>
          <cell r="E37">
            <v>163000000000</v>
          </cell>
          <cell r="F37">
            <v>166800000000</v>
          </cell>
          <cell r="G37">
            <v>506400000000</v>
          </cell>
          <cell r="H37">
            <v>629176000000</v>
          </cell>
          <cell r="I37">
            <v>263200000000</v>
          </cell>
          <cell r="J37">
            <v>475950000000</v>
          </cell>
          <cell r="K37">
            <v>140949795115</v>
          </cell>
          <cell r="L37">
            <v>62700000000</v>
          </cell>
          <cell r="M37">
            <v>245000000000</v>
          </cell>
          <cell r="N37">
            <v>691350000000</v>
          </cell>
          <cell r="O37">
            <v>152749000000</v>
          </cell>
          <cell r="P37">
            <v>123600000000</v>
          </cell>
          <cell r="Q37">
            <v>102251000000</v>
          </cell>
          <cell r="R37">
            <v>226000000000</v>
          </cell>
          <cell r="S37">
            <v>238370000000</v>
          </cell>
          <cell r="T37">
            <v>549000000000</v>
          </cell>
          <cell r="U37">
            <v>167287000000</v>
          </cell>
          <cell r="V37">
            <v>203850000000</v>
          </cell>
          <cell r="W37">
            <v>350000000000</v>
          </cell>
          <cell r="X37">
            <v>520000000000</v>
          </cell>
          <cell r="Y37">
            <v>850000000000</v>
          </cell>
          <cell r="Z37">
            <v>351969790658</v>
          </cell>
          <cell r="AA37">
            <v>181000000000</v>
          </cell>
          <cell r="AB37">
            <v>37000000000</v>
          </cell>
          <cell r="AC37">
            <v>94600000000</v>
          </cell>
          <cell r="AD37">
            <v>111516000000</v>
          </cell>
          <cell r="AE37">
            <v>243500000000</v>
          </cell>
          <cell r="AF37">
            <v>289000000000</v>
          </cell>
          <cell r="AG37">
            <v>165000000000</v>
          </cell>
          <cell r="AH37">
            <v>327700000000</v>
          </cell>
          <cell r="AI37">
            <v>308000000000</v>
          </cell>
          <cell r="AJ37">
            <v>415814000000</v>
          </cell>
          <cell r="AK37">
            <v>307000000000</v>
          </cell>
          <cell r="AL37">
            <v>791699725000</v>
          </cell>
          <cell r="AM37">
            <v>204338000000</v>
          </cell>
          <cell r="AN37">
            <v>85794175000</v>
          </cell>
          <cell r="AO37">
            <v>530000000000</v>
          </cell>
          <cell r="AP37">
            <v>147000000000</v>
          </cell>
          <cell r="AQ37">
            <v>202300000000</v>
          </cell>
          <cell r="AR37">
            <v>131500000000</v>
          </cell>
          <cell r="AS37">
            <v>440800000000</v>
          </cell>
          <cell r="AT37">
            <v>428123000000</v>
          </cell>
          <cell r="AU37">
            <v>808000000000</v>
          </cell>
          <cell r="AV37">
            <v>125870000000</v>
          </cell>
          <cell r="AW37">
            <v>160125000000</v>
          </cell>
          <cell r="AX37">
            <v>119261000000</v>
          </cell>
          <cell r="AY37">
            <v>230000000000</v>
          </cell>
          <cell r="AZ37">
            <v>1104200000000</v>
          </cell>
          <cell r="BA37">
            <v>372700000000</v>
          </cell>
          <cell r="BB37">
            <v>247730000000</v>
          </cell>
          <cell r="BC37">
            <v>350000000000</v>
          </cell>
          <cell r="BD37">
            <v>895300000000</v>
          </cell>
          <cell r="BE37">
            <v>140500000000</v>
          </cell>
          <cell r="BF37">
            <v>445900000000</v>
          </cell>
          <cell r="BG37">
            <v>69500000000</v>
          </cell>
          <cell r="BH37">
            <v>206800000000</v>
          </cell>
          <cell r="BI37">
            <v>661913115325</v>
          </cell>
          <cell r="BJ37">
            <v>154500000000</v>
          </cell>
          <cell r="BK37">
            <v>276000000000</v>
          </cell>
          <cell r="BL37">
            <v>148600000000</v>
          </cell>
          <cell r="BM37">
            <v>580479000000</v>
          </cell>
          <cell r="BN37">
            <v>131570000000</v>
          </cell>
          <cell r="BO37">
            <v>354760000000</v>
          </cell>
          <cell r="BQ37">
            <v>1579000000000</v>
          </cell>
          <cell r="BR37">
            <v>534100000000</v>
          </cell>
          <cell r="BS37">
            <v>93000000000</v>
          </cell>
          <cell r="BT37">
            <v>240000000000</v>
          </cell>
          <cell r="BU37">
            <v>416000000000</v>
          </cell>
          <cell r="BV37">
            <v>175000000000</v>
          </cell>
          <cell r="BW37">
            <v>556689000000</v>
          </cell>
          <cell r="BX37">
            <v>522546000000</v>
          </cell>
          <cell r="BY37">
            <v>674404914000</v>
          </cell>
          <cell r="BZ37">
            <v>87500000000</v>
          </cell>
          <cell r="CA37">
            <v>100000000000</v>
          </cell>
          <cell r="CB37">
            <v>253200000000</v>
          </cell>
          <cell r="CC37">
            <v>457800000000</v>
          </cell>
          <cell r="CD37">
            <v>897133000000</v>
          </cell>
          <cell r="CE37">
            <v>680500000000</v>
          </cell>
          <cell r="CF37">
            <v>658000000000</v>
          </cell>
          <cell r="CG37">
            <v>450000000000</v>
          </cell>
          <cell r="CH37">
            <v>580000000000</v>
          </cell>
          <cell r="CI37">
            <v>443500000000</v>
          </cell>
          <cell r="CJ37">
            <v>645060000000</v>
          </cell>
          <cell r="CK37">
            <v>212500000000</v>
          </cell>
          <cell r="CL37">
            <v>200700000000</v>
          </cell>
          <cell r="CM37">
            <v>870000000000</v>
          </cell>
          <cell r="CN37">
            <v>226999999999.89999</v>
          </cell>
          <cell r="CO37">
            <v>432000000000</v>
          </cell>
          <cell r="CP37">
            <v>719300000000</v>
          </cell>
          <cell r="CQ37">
            <v>350000000000</v>
          </cell>
          <cell r="CR37">
            <v>350000000000</v>
          </cell>
          <cell r="CS37">
            <v>1034600000000</v>
          </cell>
          <cell r="CT37">
            <v>167000000000</v>
          </cell>
          <cell r="CU37">
            <v>179300000000</v>
          </cell>
          <cell r="CW37">
            <v>203000000000</v>
          </cell>
          <cell r="CX37">
            <v>254823096000</v>
          </cell>
          <cell r="CY37">
            <v>99000000000</v>
          </cell>
          <cell r="CZ37">
            <v>512000000000</v>
          </cell>
          <cell r="DA37">
            <v>280000000000</v>
          </cell>
          <cell r="DB37">
            <v>790000000000</v>
          </cell>
          <cell r="DC37">
            <v>355000000000</v>
          </cell>
          <cell r="DD37">
            <v>1288477030303.1001</v>
          </cell>
          <cell r="DE37">
            <v>195000000000</v>
          </cell>
          <cell r="DJ37">
            <v>677260897500</v>
          </cell>
          <cell r="DN37">
            <v>300000000000</v>
          </cell>
          <cell r="DR37">
            <v>240000000000</v>
          </cell>
          <cell r="DU37">
            <v>75000000000</v>
          </cell>
          <cell r="DV37">
            <v>136127903999.99998</v>
          </cell>
          <cell r="EK37">
            <v>1028470173500.0001</v>
          </cell>
          <cell r="EO37">
            <v>4300000000000</v>
          </cell>
          <cell r="EV37">
            <v>250000000000</v>
          </cell>
          <cell r="EW37">
            <v>300000000000</v>
          </cell>
          <cell r="EZ37">
            <v>376810410625</v>
          </cell>
          <cell r="FG37">
            <v>790000000000</v>
          </cell>
        </row>
        <row r="40">
          <cell r="B40" t="str">
            <v xml:space="preserve">Unit Rate on GFA (KRW/sq. m.)  </v>
          </cell>
          <cell r="C40">
            <v>12468255.716171369</v>
          </cell>
          <cell r="D40">
            <v>14404927.47864097</v>
          </cell>
          <cell r="E40">
            <v>35114174.924601465</v>
          </cell>
          <cell r="F40">
            <v>12286125.296380674</v>
          </cell>
          <cell r="G40">
            <v>10251240.412235899</v>
          </cell>
          <cell r="H40">
            <v>10366106.218747683</v>
          </cell>
          <cell r="I40">
            <v>28799838.930991996</v>
          </cell>
          <cell r="J40">
            <v>8266674.8184180018</v>
          </cell>
          <cell r="K40">
            <v>8997413.7657758184</v>
          </cell>
          <cell r="L40">
            <v>6189182.57464513</v>
          </cell>
          <cell r="M40">
            <v>6584851.4551581023</v>
          </cell>
          <cell r="N40">
            <v>7865046.3393263239</v>
          </cell>
          <cell r="O40">
            <v>7071259.5511815567</v>
          </cell>
          <cell r="P40">
            <v>9683105.4878765326</v>
          </cell>
          <cell r="Q40">
            <v>6700501.9593452243</v>
          </cell>
          <cell r="R40">
            <v>7109775.5638901414</v>
          </cell>
          <cell r="S40">
            <v>6110515.6624613386</v>
          </cell>
          <cell r="T40">
            <v>11254612.54612546</v>
          </cell>
          <cell r="U40">
            <v>8469970.5325407833</v>
          </cell>
          <cell r="V40">
            <v>4488161.3598039085</v>
          </cell>
          <cell r="W40">
            <v>3936374.6954380055</v>
          </cell>
          <cell r="X40">
            <v>11163388.208542397</v>
          </cell>
          <cell r="Y40">
            <v>8539543.2087825891</v>
          </cell>
          <cell r="Z40">
            <v>13013775.474544425</v>
          </cell>
          <cell r="AA40">
            <v>7294836.7467929926</v>
          </cell>
          <cell r="AB40">
            <v>9922656.9120691679</v>
          </cell>
          <cell r="AC40">
            <v>5424545.2069326378</v>
          </cell>
          <cell r="AD40">
            <v>6024121.1177003793</v>
          </cell>
          <cell r="AE40">
            <v>9984275.2789754122</v>
          </cell>
          <cell r="AF40">
            <v>8317216.9268315155</v>
          </cell>
          <cell r="AG40">
            <v>5932264.3273171782</v>
          </cell>
          <cell r="AH40">
            <v>12418151.798547791</v>
          </cell>
          <cell r="AI40">
            <v>11040415.807868088</v>
          </cell>
          <cell r="AJ40">
            <v>10107383.075637775</v>
          </cell>
          <cell r="AK40">
            <v>9379601.9626893494</v>
          </cell>
          <cell r="AL40">
            <v>12621694.894772142</v>
          </cell>
          <cell r="AM40">
            <v>10436254.41338779</v>
          </cell>
          <cell r="AN40">
            <v>10326445.559808381</v>
          </cell>
          <cell r="AO40">
            <v>10534048.42959201</v>
          </cell>
          <cell r="AP40">
            <v>9751981.2443528064</v>
          </cell>
          <cell r="AQ40">
            <v>6792048.1668016901</v>
          </cell>
          <cell r="AR40">
            <v>4297273.2739013359</v>
          </cell>
          <cell r="AS40">
            <v>10889311.922956636</v>
          </cell>
          <cell r="AT40">
            <v>11192491.891042592</v>
          </cell>
          <cell r="AU40">
            <v>10865284.059270125</v>
          </cell>
          <cell r="AV40">
            <v>7266964.3810782963</v>
          </cell>
          <cell r="AW40">
            <v>11646259.196089912</v>
          </cell>
          <cell r="AX40">
            <v>7898926.9047407741</v>
          </cell>
          <cell r="AY40">
            <v>5644365.6959993718</v>
          </cell>
          <cell r="AZ40">
            <v>13612389.370057773</v>
          </cell>
          <cell r="BA40">
            <v>9535020.0281471144</v>
          </cell>
          <cell r="BB40">
            <v>7985790.4314286774</v>
          </cell>
          <cell r="BC40">
            <v>8896084.8330649678</v>
          </cell>
          <cell r="BD40">
            <v>10477038.166002249</v>
          </cell>
          <cell r="BE40">
            <v>6787239.60308416</v>
          </cell>
          <cell r="BF40">
            <v>12745954.181453336</v>
          </cell>
          <cell r="BG40">
            <v>6390804.5977011491</v>
          </cell>
          <cell r="BH40">
            <v>11225099.060956413</v>
          </cell>
          <cell r="BI40">
            <v>12402500</v>
          </cell>
          <cell r="BJ40">
            <v>9439380.2390087731</v>
          </cell>
          <cell r="BK40">
            <v>11414646.977227779</v>
          </cell>
          <cell r="BL40">
            <v>13052915.253552439</v>
          </cell>
          <cell r="BM40">
            <v>7713755.4989903988</v>
          </cell>
          <cell r="BN40">
            <v>8350978.4805370215</v>
          </cell>
          <cell r="BO40">
            <v>8772506.8113287892</v>
          </cell>
          <cell r="BP40">
            <v>0</v>
          </cell>
          <cell r="BQ40">
            <v>5040815.3573388495</v>
          </cell>
          <cell r="BR40">
            <v>5466411.2193801599</v>
          </cell>
          <cell r="BS40">
            <v>6225714.7551616374</v>
          </cell>
          <cell r="BT40">
            <v>8752416.0315086972</v>
          </cell>
          <cell r="BU40">
            <v>4304661.5966859078</v>
          </cell>
          <cell r="BV40">
            <v>10059668.203400742</v>
          </cell>
          <cell r="BW40">
            <v>10182282.368847709</v>
          </cell>
          <cell r="BX40">
            <v>10385895.982433181</v>
          </cell>
          <cell r="BY40">
            <v>8181098.3311360329</v>
          </cell>
          <cell r="BZ40">
            <v>6279833.6956498334</v>
          </cell>
          <cell r="CA40">
            <v>7238294.0499051418</v>
          </cell>
          <cell r="CB40">
            <v>5125620.2061179494</v>
          </cell>
          <cell r="CC40">
            <v>12312329.757432582</v>
          </cell>
          <cell r="CD40">
            <v>13551368.764783265</v>
          </cell>
          <cell r="CE40">
            <v>13310172.394604657</v>
          </cell>
          <cell r="CF40">
            <v>8185577.2368302718</v>
          </cell>
          <cell r="CG40">
            <v>8575298.0725969486</v>
          </cell>
          <cell r="CH40">
            <v>9747828.7131706439</v>
          </cell>
          <cell r="CI40">
            <v>14346738.179306731</v>
          </cell>
          <cell r="CJ40">
            <v>11582088.180150973</v>
          </cell>
          <cell r="CK40">
            <v>10558250.738829123</v>
          </cell>
          <cell r="CL40">
            <v>10589052.295003252</v>
          </cell>
          <cell r="CM40">
            <v>10776845.835238378</v>
          </cell>
          <cell r="CN40">
            <v>10878055.559544176</v>
          </cell>
          <cell r="CO40">
            <v>11092133.520530205</v>
          </cell>
          <cell r="CP40">
            <v>9982768.517459644</v>
          </cell>
          <cell r="CQ40">
            <v>11409738.374699069</v>
          </cell>
          <cell r="CR40">
            <v>20851255.483880192</v>
          </cell>
          <cell r="CS40">
            <v>10346300.042701237</v>
          </cell>
          <cell r="CT40">
            <v>10155556.366378419</v>
          </cell>
          <cell r="CU40">
            <v>13037297.723744532</v>
          </cell>
          <cell r="CV40">
            <v>0</v>
          </cell>
          <cell r="CW40">
            <v>13136412.258149268</v>
          </cell>
          <cell r="CX40">
            <v>12100000</v>
          </cell>
          <cell r="CY40">
            <v>6661516.8879546318</v>
          </cell>
          <cell r="CZ40">
            <v>9978100.7971372195</v>
          </cell>
          <cell r="DA40">
            <v>6278771.6300879633</v>
          </cell>
          <cell r="DB40">
            <v>6145441.917950416</v>
          </cell>
          <cell r="DC40">
            <v>16178884.686936302</v>
          </cell>
          <cell r="DE40">
            <v>16202028.493967444</v>
          </cell>
          <cell r="DJ40">
            <v>90750000</v>
          </cell>
          <cell r="DK40">
            <v>0</v>
          </cell>
          <cell r="DL40">
            <v>0</v>
          </cell>
          <cell r="DM40">
            <v>0</v>
          </cell>
          <cell r="DN40">
            <v>20750360.710437015</v>
          </cell>
          <cell r="DO40">
            <v>0</v>
          </cell>
          <cell r="DQ40">
            <v>0</v>
          </cell>
          <cell r="DR40">
            <v>19819470.38678465</v>
          </cell>
          <cell r="DS40">
            <v>0</v>
          </cell>
          <cell r="DT40">
            <v>0</v>
          </cell>
          <cell r="DU40">
            <v>4021389.502672079</v>
          </cell>
          <cell r="DV40">
            <v>9075000</v>
          </cell>
          <cell r="DW40" t="e">
            <v>#DIV/0!</v>
          </cell>
          <cell r="DX40">
            <v>0</v>
          </cell>
          <cell r="DY40">
            <v>0</v>
          </cell>
          <cell r="DZ40">
            <v>0</v>
          </cell>
          <cell r="EG40">
            <v>0</v>
          </cell>
          <cell r="EK40">
            <v>10285000</v>
          </cell>
          <cell r="EL40">
            <v>0</v>
          </cell>
          <cell r="EM40">
            <v>0</v>
          </cell>
          <cell r="EN40">
            <v>0</v>
          </cell>
          <cell r="EO40">
            <v>110407798.31539422</v>
          </cell>
          <cell r="EP40" t="e">
            <v>#DIV/0!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6590011.6511405986</v>
          </cell>
          <cell r="EW40" t="e">
            <v>#VALUE!</v>
          </cell>
          <cell r="EX40">
            <v>0</v>
          </cell>
          <cell r="EY40">
            <v>0</v>
          </cell>
          <cell r="EZ40">
            <v>7562500</v>
          </cell>
          <cell r="FA40">
            <v>0</v>
          </cell>
          <cell r="FB40">
            <v>0</v>
          </cell>
          <cell r="FG40">
            <v>6145441.917950416</v>
          </cell>
          <cell r="FJ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</row>
        <row r="41">
          <cell r="B41" t="str">
            <v xml:space="preserve">Unit Rate on GFA (KRW/py)  </v>
          </cell>
          <cell r="C41">
            <v>41217374.268335104</v>
          </cell>
          <cell r="D41">
            <v>47619594.970713951</v>
          </cell>
          <cell r="E41">
            <v>116079917.10612056</v>
          </cell>
          <cell r="F41">
            <v>40615290.235969171</v>
          </cell>
          <cell r="G41">
            <v>33888398.056978181</v>
          </cell>
          <cell r="H41">
            <v>34268119.731397301</v>
          </cell>
          <cell r="I41">
            <v>95206079.110717341</v>
          </cell>
          <cell r="J41">
            <v>27327850.639398351</v>
          </cell>
          <cell r="K41">
            <v>29743516.581077084</v>
          </cell>
          <cell r="L41">
            <v>20460107.68477729</v>
          </cell>
          <cell r="M41">
            <v>21768103.983993728</v>
          </cell>
          <cell r="N41">
            <v>26000153.187855616</v>
          </cell>
          <cell r="O41">
            <v>23376064.632005148</v>
          </cell>
          <cell r="P41">
            <v>32010266.075624902</v>
          </cell>
          <cell r="Q41">
            <v>22150419.700314794</v>
          </cell>
          <cell r="R41">
            <v>23503390.293851707</v>
          </cell>
          <cell r="S41">
            <v>20200051.7767317</v>
          </cell>
          <cell r="T41">
            <v>37205330.730993263</v>
          </cell>
          <cell r="U41">
            <v>27999902.586911682</v>
          </cell>
          <cell r="V41">
            <v>14836897.057203002</v>
          </cell>
          <cell r="W41">
            <v>13012808.910538862</v>
          </cell>
          <cell r="X41">
            <v>36903762.672867432</v>
          </cell>
          <cell r="Y41">
            <v>28229894.905066408</v>
          </cell>
          <cell r="Z41">
            <v>43020745.370394789</v>
          </cell>
          <cell r="AA41">
            <v>24115162.799315676</v>
          </cell>
          <cell r="AB41">
            <v>32802171.610146016</v>
          </cell>
          <cell r="AC41">
            <v>17932380.849364091</v>
          </cell>
          <cell r="AD41">
            <v>19914449.975869026</v>
          </cell>
          <cell r="AE41">
            <v>33005868.690827813</v>
          </cell>
          <cell r="AF41">
            <v>27494931.989525672</v>
          </cell>
          <cell r="AG41">
            <v>19610791.164684884</v>
          </cell>
          <cell r="AH41">
            <v>41051741.482802622</v>
          </cell>
          <cell r="AI41">
            <v>36497242.340059802</v>
          </cell>
          <cell r="AJ41">
            <v>33412836.613678589</v>
          </cell>
          <cell r="AK41">
            <v>31006948.636989586</v>
          </cell>
          <cell r="AL41">
            <v>41724611.222387254</v>
          </cell>
          <cell r="AM41">
            <v>34500014.589711703</v>
          </cell>
          <cell r="AN41">
            <v>34137010.115069032</v>
          </cell>
          <cell r="AO41">
            <v>34823300.593692593</v>
          </cell>
          <cell r="AP41">
            <v>32237954.526786141</v>
          </cell>
          <cell r="AQ41">
            <v>22453051.791079968</v>
          </cell>
          <cell r="AR41">
            <v>14205862.062483754</v>
          </cell>
          <cell r="AS41">
            <v>35997725.365145907</v>
          </cell>
          <cell r="AT41">
            <v>36999973.193529233</v>
          </cell>
          <cell r="AU41">
            <v>35918294.410810336</v>
          </cell>
          <cell r="AV41">
            <v>24023022.747366272</v>
          </cell>
          <cell r="AW41">
            <v>38500030.400297239</v>
          </cell>
          <cell r="AX41">
            <v>26112155.056994293</v>
          </cell>
          <cell r="AY41">
            <v>18659060.15206404</v>
          </cell>
          <cell r="AZ41">
            <v>44999634.281182729</v>
          </cell>
          <cell r="BA41">
            <v>31520727.365775585</v>
          </cell>
          <cell r="BB41">
            <v>26399307.211334471</v>
          </cell>
          <cell r="BC41">
            <v>29408544.90269411</v>
          </cell>
          <cell r="BD41">
            <v>34634836.912404135</v>
          </cell>
          <cell r="BE41">
            <v>22437155.712674912</v>
          </cell>
          <cell r="BF41">
            <v>42135385.723812677</v>
          </cell>
          <cell r="BG41">
            <v>21126626.769259997</v>
          </cell>
          <cell r="BH41">
            <v>37107765.490765005</v>
          </cell>
          <cell r="BI41">
            <v>41000000</v>
          </cell>
          <cell r="BJ41">
            <v>31204562.773582723</v>
          </cell>
          <cell r="BK41">
            <v>37734370.172653824</v>
          </cell>
          <cell r="BL41">
            <v>43150133.069594845</v>
          </cell>
          <cell r="BM41">
            <v>25500018.178480659</v>
          </cell>
          <cell r="BN41">
            <v>27606540.431527346</v>
          </cell>
          <cell r="BO41">
            <v>29000022.516789384</v>
          </cell>
          <cell r="BP41">
            <v>0</v>
          </cell>
          <cell r="BQ41">
            <v>16663852.420954874</v>
          </cell>
          <cell r="BR41">
            <v>18070780.890512925</v>
          </cell>
          <cell r="BS41">
            <v>20580875.223674837</v>
          </cell>
          <cell r="BT41">
            <v>28933606.715731237</v>
          </cell>
          <cell r="BU41">
            <v>14230286.270036057</v>
          </cell>
          <cell r="BV41">
            <v>33255101.498845428</v>
          </cell>
          <cell r="BW41">
            <v>33660437.582967639</v>
          </cell>
          <cell r="BX41">
            <v>34333540.437795639</v>
          </cell>
          <cell r="BY41">
            <v>27044953.160780277</v>
          </cell>
          <cell r="BZ41">
            <v>20759780.812065564</v>
          </cell>
          <cell r="CA41">
            <v>23928244.793074854</v>
          </cell>
          <cell r="CB41">
            <v>33888398.056978181</v>
          </cell>
          <cell r="CC41">
            <v>40701916.553496137</v>
          </cell>
          <cell r="CD41">
            <v>44797913.272010796</v>
          </cell>
          <cell r="CE41">
            <v>44000569.899519525</v>
          </cell>
          <cell r="CF41">
            <v>27059759.460595939</v>
          </cell>
          <cell r="CG41">
            <v>28348092.801973388</v>
          </cell>
          <cell r="CH41">
            <v>32224227.150977336</v>
          </cell>
          <cell r="CI41">
            <v>47427233.650600769</v>
          </cell>
          <cell r="CJ41">
            <v>38287894.810416438</v>
          </cell>
          <cell r="CK41">
            <v>34903308.227534287</v>
          </cell>
          <cell r="CL41">
            <v>35005131.553729758</v>
          </cell>
          <cell r="CM41">
            <v>35625936.645416126</v>
          </cell>
          <cell r="CN41">
            <v>35960514.246427022</v>
          </cell>
          <cell r="CO41">
            <v>36668209.985223822</v>
          </cell>
          <cell r="CP41">
            <v>33000887.661023621</v>
          </cell>
          <cell r="CQ41">
            <v>37718143.387434937</v>
          </cell>
          <cell r="CR41">
            <v>68929770.194645256</v>
          </cell>
          <cell r="CS41">
            <v>34202644.769260287</v>
          </cell>
          <cell r="CT41">
            <v>33572087.161581554</v>
          </cell>
          <cell r="CU41">
            <v>43098504.871882759</v>
          </cell>
          <cell r="CW41">
            <v>43426156.225286834</v>
          </cell>
          <cell r="CX41">
            <v>40000000.000000007</v>
          </cell>
          <cell r="CY41">
            <v>22021543.431254983</v>
          </cell>
          <cell r="CZ41">
            <v>32985457.180618912</v>
          </cell>
          <cell r="DA41">
            <v>20756269.851530459</v>
          </cell>
          <cell r="DB41">
            <v>20315510.47256336</v>
          </cell>
          <cell r="DC41">
            <v>53483916.320450589</v>
          </cell>
          <cell r="DE41">
            <v>53560424.773446098</v>
          </cell>
          <cell r="DJ41">
            <v>300000000</v>
          </cell>
          <cell r="DK41">
            <v>0</v>
          </cell>
          <cell r="DL41">
            <v>0</v>
          </cell>
          <cell r="DM41">
            <v>0</v>
          </cell>
          <cell r="DN41">
            <v>68596233.753510803</v>
          </cell>
          <cell r="DO41">
            <v>0</v>
          </cell>
          <cell r="DQ41">
            <v>0</v>
          </cell>
          <cell r="DR41">
            <v>65518910.369536042</v>
          </cell>
          <cell r="DS41">
            <v>0</v>
          </cell>
          <cell r="DT41">
            <v>0</v>
          </cell>
          <cell r="DU41">
            <v>13293849.595610179</v>
          </cell>
          <cell r="DV41">
            <v>30000000</v>
          </cell>
          <cell r="DW41" t="e">
            <v>#DIV/0!</v>
          </cell>
          <cell r="DX41">
            <v>0</v>
          </cell>
          <cell r="DY41">
            <v>0</v>
          </cell>
          <cell r="DZ41">
            <v>0</v>
          </cell>
          <cell r="EG41">
            <v>0</v>
          </cell>
          <cell r="EK41">
            <v>34000000</v>
          </cell>
          <cell r="EL41">
            <v>0</v>
          </cell>
          <cell r="EM41">
            <v>0</v>
          </cell>
          <cell r="EN41">
            <v>0</v>
          </cell>
          <cell r="EO41">
            <v>364984457.2409727</v>
          </cell>
          <cell r="EP41" t="e">
            <v>#DIV/0!</v>
          </cell>
          <cell r="EQ41">
            <v>0</v>
          </cell>
          <cell r="ER41">
            <v>0</v>
          </cell>
          <cell r="ES41">
            <v>0</v>
          </cell>
          <cell r="ET41">
            <v>0</v>
          </cell>
          <cell r="EU41">
            <v>0</v>
          </cell>
          <cell r="EV41">
            <v>21785162.483109418</v>
          </cell>
          <cell r="EW41" t="e">
            <v>#VALUE!</v>
          </cell>
          <cell r="EX41">
            <v>0</v>
          </cell>
          <cell r="EY41">
            <v>0</v>
          </cell>
          <cell r="EZ41">
            <v>25000000</v>
          </cell>
          <cell r="FA41">
            <v>0</v>
          </cell>
          <cell r="FB41">
            <v>0</v>
          </cell>
          <cell r="FG41">
            <v>20315510.47256336</v>
          </cell>
          <cell r="FJ41">
            <v>0</v>
          </cell>
          <cell r="FL41">
            <v>0</v>
          </cell>
          <cell r="FM41">
            <v>0</v>
          </cell>
          <cell r="FN41">
            <v>0</v>
          </cell>
          <cell r="FO41">
            <v>0</v>
          </cell>
        </row>
        <row r="48">
          <cell r="B48" t="str">
            <v>*Estimated Cap Rate (Rent &amp; CAM)</v>
          </cell>
          <cell r="C48">
            <v>2.9000000000000001E-2</v>
          </cell>
          <cell r="G48">
            <v>4.5300055588467614E-2</v>
          </cell>
          <cell r="H48">
            <v>3.5000000000000003E-2</v>
          </cell>
          <cell r="J48">
            <v>3.438031085567602E-2</v>
          </cell>
          <cell r="K48">
            <v>4.4999999999999998E-2</v>
          </cell>
          <cell r="L48">
            <v>0.05</v>
          </cell>
          <cell r="N48">
            <v>3.9E-2</v>
          </cell>
          <cell r="O48">
            <v>4.9000000000000002E-2</v>
          </cell>
          <cell r="P48">
            <v>4.5999999999999999E-2</v>
          </cell>
          <cell r="R48">
            <v>4.8131814159292033E-2</v>
          </cell>
          <cell r="S48">
            <v>3.6999999999999998E-2</v>
          </cell>
          <cell r="T48">
            <v>3.7999999999999999E-2</v>
          </cell>
          <cell r="U48">
            <v>0.04</v>
          </cell>
          <cell r="V48">
            <v>2.7186656855531028E-2</v>
          </cell>
          <cell r="W48">
            <v>4.2000000000000003E-2</v>
          </cell>
          <cell r="X48">
            <v>4.1778578942642308E-2</v>
          </cell>
          <cell r="Y48">
            <v>4.1200000000000001E-2</v>
          </cell>
          <cell r="Z48">
            <v>4.1000000000000002E-2</v>
          </cell>
          <cell r="AA48">
            <v>4.3999999999999997E-2</v>
          </cell>
          <cell r="AB48">
            <v>8.1081081081081086E-2</v>
          </cell>
          <cell r="AC48">
            <v>4.9000000000000002E-2</v>
          </cell>
          <cell r="AE48">
            <v>1.2999999999999999E-2</v>
          </cell>
          <cell r="AF48">
            <v>5.1999999999999998E-2</v>
          </cell>
          <cell r="AG48">
            <v>4.8000000000000001E-2</v>
          </cell>
          <cell r="AH48">
            <v>3.6999999999999998E-2</v>
          </cell>
          <cell r="AI48">
            <v>3.1E-2</v>
          </cell>
          <cell r="AJ48">
            <v>3.5000000000000003E-2</v>
          </cell>
          <cell r="AK48">
            <v>4.2000000000000003E-2</v>
          </cell>
          <cell r="AL48">
            <v>4.2999999999999997E-2</v>
          </cell>
          <cell r="AM48">
            <v>0.04</v>
          </cell>
          <cell r="AP48">
            <v>3.7999999999999999E-2</v>
          </cell>
          <cell r="AQ48">
            <v>3.2000000000000001E-2</v>
          </cell>
          <cell r="AR48">
            <v>5.6000000000000001E-2</v>
          </cell>
          <cell r="AS48">
            <v>2.4656781873865698E-2</v>
          </cell>
          <cell r="AT48">
            <v>4.2000000000000003E-2</v>
          </cell>
          <cell r="AU48">
            <v>4.7E-2</v>
          </cell>
          <cell r="AV48">
            <v>5.0999999999999997E-2</v>
          </cell>
          <cell r="AW48">
            <v>4.2999999999999997E-2</v>
          </cell>
          <cell r="AX48">
            <v>3.9E-2</v>
          </cell>
          <cell r="AY48">
            <v>4.7E-2</v>
          </cell>
          <cell r="AZ48">
            <v>3.1108286846585762E-2</v>
          </cell>
          <cell r="BB48">
            <v>5.0999999999999997E-2</v>
          </cell>
          <cell r="BC48">
            <v>4.3999999999999997E-2</v>
          </cell>
          <cell r="BD48">
            <v>3.7999999999999999E-2</v>
          </cell>
          <cell r="BE48">
            <v>4.1000000000000002E-2</v>
          </cell>
          <cell r="BF48">
            <v>3.0890024467369364E-2</v>
          </cell>
          <cell r="BH48">
            <v>3.9E-2</v>
          </cell>
          <cell r="BI48">
            <v>3.5000000000000003E-2</v>
          </cell>
          <cell r="BJ48">
            <v>3.5999999999999997E-2</v>
          </cell>
          <cell r="BK48">
            <v>4.1000000000000002E-2</v>
          </cell>
          <cell r="BL48">
            <v>4.2000000000000003E-2</v>
          </cell>
          <cell r="BM48">
            <v>4.4999999999999998E-2</v>
          </cell>
          <cell r="BN48">
            <v>4.2999999999999997E-2</v>
          </cell>
          <cell r="BO48">
            <v>4.2000000000000003E-2</v>
          </cell>
          <cell r="BV48">
            <v>3.9E-2</v>
          </cell>
          <cell r="BW48">
            <v>4.1000000000000002E-2</v>
          </cell>
          <cell r="BX48">
            <v>4.1000000000000002E-2</v>
          </cell>
          <cell r="BY48">
            <v>3.9E-2</v>
          </cell>
          <cell r="BZ48">
            <v>4.2999999999999997E-2</v>
          </cell>
          <cell r="CC48">
            <v>3.5999999999999997E-2</v>
          </cell>
          <cell r="CD48">
            <v>3.5000000000000003E-2</v>
          </cell>
          <cell r="CE48">
            <v>3.1E-2</v>
          </cell>
          <cell r="CH48">
            <v>4.2000000000000003E-2</v>
          </cell>
          <cell r="CI48">
            <v>3.4000000000000002E-2</v>
          </cell>
          <cell r="CJ48">
            <v>3.6999999999999998E-2</v>
          </cell>
          <cell r="CK48">
            <v>0.03</v>
          </cell>
          <cell r="CL48">
            <v>3.7999999999999999E-2</v>
          </cell>
          <cell r="CM48">
            <v>2.5999999999999999E-2</v>
          </cell>
          <cell r="CO48">
            <v>3.6999999999999998E-2</v>
          </cell>
          <cell r="CQ48">
            <v>3.9E-2</v>
          </cell>
          <cell r="CS48">
            <v>4.7E-2</v>
          </cell>
          <cell r="CY48">
            <v>5.4436923357863438E-2</v>
          </cell>
          <cell r="DC48">
            <v>3.4000000000000002E-2</v>
          </cell>
          <cell r="DJ48">
            <v>0</v>
          </cell>
          <cell r="DO48" t="e">
            <v>#DIV/0!</v>
          </cell>
          <cell r="DQ48" t="e">
            <v>#DIV/0!</v>
          </cell>
          <cell r="DR48">
            <v>0</v>
          </cell>
          <cell r="DW48" t="e">
            <v>#DIV/0!</v>
          </cell>
          <cell r="EO48">
            <v>2.9067520730232557E-3</v>
          </cell>
          <cell r="EQ48" t="e">
            <v>#DIV/0!</v>
          </cell>
          <cell r="ER48" t="e">
            <v>#DIV/0!</v>
          </cell>
          <cell r="ES48" t="e">
            <v>#DIV/0!</v>
          </cell>
          <cell r="ET48" t="e">
            <v>#DIV/0!</v>
          </cell>
          <cell r="EU48" t="e">
            <v>#DIV/0!</v>
          </cell>
          <cell r="EV48">
            <v>5.5E-2</v>
          </cell>
          <cell r="EW48" t="e">
            <v>#VALUE!</v>
          </cell>
          <cell r="EX48" t="e">
            <v>#DIV/0!</v>
          </cell>
          <cell r="EY48" t="e">
            <v>#DIV/0!</v>
          </cell>
          <cell r="EZ48">
            <v>4.1000000000000002E-2</v>
          </cell>
        </row>
        <row r="89">
          <cell r="B89" t="str">
            <v>Include in DB? (If yes, leave 1. 
If no, leave empty)</v>
          </cell>
          <cell r="C89">
            <v>1</v>
          </cell>
          <cell r="D89">
            <v>1</v>
          </cell>
          <cell r="E89">
            <v>1</v>
          </cell>
          <cell r="F89">
            <v>1</v>
          </cell>
          <cell r="G89">
            <v>1</v>
          </cell>
          <cell r="H89">
            <v>1</v>
          </cell>
          <cell r="I89">
            <v>1</v>
          </cell>
          <cell r="J89">
            <v>1</v>
          </cell>
          <cell r="K89">
            <v>1</v>
          </cell>
          <cell r="L89">
            <v>1</v>
          </cell>
          <cell r="M89">
            <v>1</v>
          </cell>
          <cell r="N89">
            <v>1</v>
          </cell>
          <cell r="O89">
            <v>1</v>
          </cell>
          <cell r="P89">
            <v>1</v>
          </cell>
          <cell r="Q89">
            <v>1</v>
          </cell>
          <cell r="R89">
            <v>1</v>
          </cell>
          <cell r="S89">
            <v>1</v>
          </cell>
          <cell r="T89">
            <v>1</v>
          </cell>
          <cell r="U89">
            <v>1</v>
          </cell>
          <cell r="V89">
            <v>1</v>
          </cell>
          <cell r="W89">
            <v>1</v>
          </cell>
          <cell r="X89">
            <v>1</v>
          </cell>
          <cell r="Y89">
            <v>1</v>
          </cell>
          <cell r="Z89">
            <v>1</v>
          </cell>
          <cell r="AA89">
            <v>1</v>
          </cell>
          <cell r="AB89">
            <v>1</v>
          </cell>
          <cell r="AC89">
            <v>1</v>
          </cell>
          <cell r="AD89">
            <v>1</v>
          </cell>
          <cell r="AE89">
            <v>1</v>
          </cell>
          <cell r="AF89">
            <v>1</v>
          </cell>
          <cell r="AG89">
            <v>1</v>
          </cell>
          <cell r="AH89">
            <v>1</v>
          </cell>
          <cell r="AI89">
            <v>1</v>
          </cell>
          <cell r="AJ89">
            <v>1</v>
          </cell>
          <cell r="AK89">
            <v>1</v>
          </cell>
          <cell r="AL89">
            <v>1</v>
          </cell>
          <cell r="AM89">
            <v>1</v>
          </cell>
          <cell r="AN89">
            <v>1</v>
          </cell>
          <cell r="AO89">
            <v>1</v>
          </cell>
          <cell r="AP89">
            <v>1</v>
          </cell>
          <cell r="AQ89">
            <v>1</v>
          </cell>
          <cell r="AR89">
            <v>1</v>
          </cell>
          <cell r="AS89">
            <v>1</v>
          </cell>
          <cell r="AT89">
            <v>1</v>
          </cell>
          <cell r="AU89">
            <v>1</v>
          </cell>
          <cell r="AV89">
            <v>1</v>
          </cell>
          <cell r="AW89">
            <v>1</v>
          </cell>
          <cell r="AX89">
            <v>1</v>
          </cell>
          <cell r="AY89">
            <v>1</v>
          </cell>
          <cell r="AZ89">
            <v>1</v>
          </cell>
          <cell r="BA89">
            <v>1</v>
          </cell>
          <cell r="BB89">
            <v>1</v>
          </cell>
          <cell r="BC89">
            <v>1</v>
          </cell>
          <cell r="BD89">
            <v>1</v>
          </cell>
          <cell r="BE89">
            <v>1</v>
          </cell>
          <cell r="BF89">
            <v>1</v>
          </cell>
          <cell r="BG89">
            <v>1</v>
          </cell>
          <cell r="BH89">
            <v>1</v>
          </cell>
          <cell r="BI89">
            <v>1</v>
          </cell>
          <cell r="BJ89">
            <v>1</v>
          </cell>
          <cell r="BK89">
            <v>1</v>
          </cell>
          <cell r="BL89">
            <v>1</v>
          </cell>
          <cell r="BM89">
            <v>1</v>
          </cell>
          <cell r="BN89">
            <v>1</v>
          </cell>
          <cell r="BO89">
            <v>1</v>
          </cell>
          <cell r="BP89">
            <v>1</v>
          </cell>
          <cell r="BQ89">
            <v>1</v>
          </cell>
          <cell r="BR89">
            <v>1</v>
          </cell>
          <cell r="BS89">
            <v>1</v>
          </cell>
          <cell r="BT89">
            <v>1</v>
          </cell>
          <cell r="BU89">
            <v>1</v>
          </cell>
          <cell r="BV89">
            <v>1</v>
          </cell>
          <cell r="BW89">
            <v>1</v>
          </cell>
          <cell r="BX89">
            <v>1</v>
          </cell>
          <cell r="BY89">
            <v>1</v>
          </cell>
          <cell r="BZ89">
            <v>1</v>
          </cell>
          <cell r="CA89">
            <v>1</v>
          </cell>
          <cell r="CB89">
            <v>1</v>
          </cell>
          <cell r="CC89">
            <v>1</v>
          </cell>
          <cell r="CD89">
            <v>1</v>
          </cell>
          <cell r="CE89">
            <v>1</v>
          </cell>
          <cell r="CF89">
            <v>1</v>
          </cell>
          <cell r="CG89">
            <v>1</v>
          </cell>
          <cell r="CH89">
            <v>1</v>
          </cell>
          <cell r="CI89">
            <v>1</v>
          </cell>
          <cell r="CJ89">
            <v>1</v>
          </cell>
          <cell r="CK89">
            <v>1</v>
          </cell>
          <cell r="CL89">
            <v>1</v>
          </cell>
          <cell r="CM89">
            <v>1</v>
          </cell>
          <cell r="CN89">
            <v>1</v>
          </cell>
          <cell r="CO89">
            <v>1</v>
          </cell>
          <cell r="CP89">
            <v>1</v>
          </cell>
          <cell r="CQ89">
            <v>1</v>
          </cell>
          <cell r="CR89">
            <v>1</v>
          </cell>
          <cell r="CS89">
            <v>1</v>
          </cell>
          <cell r="CT89">
            <v>1</v>
          </cell>
          <cell r="CU89">
            <v>1</v>
          </cell>
          <cell r="CV89">
            <v>1</v>
          </cell>
          <cell r="CW89">
            <v>1</v>
          </cell>
          <cell r="CX89">
            <v>1</v>
          </cell>
          <cell r="CY89">
            <v>1</v>
          </cell>
          <cell r="CZ89">
            <v>1</v>
          </cell>
          <cell r="DA89">
            <v>1</v>
          </cell>
          <cell r="DB89">
            <v>1</v>
          </cell>
          <cell r="DC89">
            <v>1</v>
          </cell>
          <cell r="DD89">
            <v>1</v>
          </cell>
          <cell r="DE89">
            <v>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CA0A2-27E7-404B-920E-2D71EB8C6734}">
  <dimension ref="A1"/>
  <sheetViews>
    <sheetView zoomScale="54" workbookViewId="0"/>
  </sheetViews>
  <sheetFormatPr defaultRowHeight="14.5"/>
  <sheetData/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7594F-2FFF-4075-83EC-7E94550530D5}">
  <dimension ref="A1:B13"/>
  <sheetViews>
    <sheetView workbookViewId="0">
      <selection activeCell="D14" sqref="D14"/>
    </sheetView>
  </sheetViews>
  <sheetFormatPr defaultRowHeight="14.5"/>
  <cols>
    <col min="1" max="1" width="7.6328125" bestFit="1" customWidth="1"/>
    <col min="2" max="2" width="11.90625" bestFit="1" customWidth="1"/>
  </cols>
  <sheetData>
    <row r="1" spans="1:2">
      <c r="A1" s="1" t="s">
        <v>13</v>
      </c>
      <c r="B1" s="1" t="s">
        <v>310</v>
      </c>
    </row>
    <row r="2" spans="1:2">
      <c r="A2" t="s">
        <v>311</v>
      </c>
      <c r="B2">
        <v>2687094.678667271</v>
      </c>
    </row>
    <row r="3" spans="1:2">
      <c r="A3" t="s">
        <v>312</v>
      </c>
      <c r="B3">
        <v>2687094.678667271</v>
      </c>
    </row>
    <row r="4" spans="1:2">
      <c r="A4" t="s">
        <v>313</v>
      </c>
      <c r="B4">
        <v>2704553.7686672709</v>
      </c>
    </row>
    <row r="5" spans="1:2">
      <c r="A5" t="s">
        <v>314</v>
      </c>
      <c r="B5">
        <v>2704553.7686672709</v>
      </c>
    </row>
    <row r="6" spans="1:2">
      <c r="A6" t="s">
        <v>315</v>
      </c>
      <c r="B6">
        <v>2747415.2901172708</v>
      </c>
    </row>
    <row r="7" spans="1:2">
      <c r="A7" t="s">
        <v>316</v>
      </c>
      <c r="B7">
        <v>2760162.1756500001</v>
      </c>
    </row>
    <row r="8" spans="1:2">
      <c r="A8" t="s">
        <v>317</v>
      </c>
      <c r="B8">
        <v>2760162.1756500001</v>
      </c>
    </row>
    <row r="9" spans="1:2">
      <c r="A9" t="s">
        <v>318</v>
      </c>
      <c r="B9">
        <v>2768343.5725000002</v>
      </c>
    </row>
    <row r="10" spans="1:2">
      <c r="A10" t="s">
        <v>319</v>
      </c>
      <c r="B10">
        <v>2780097.7908000001</v>
      </c>
    </row>
    <row r="11" spans="1:2">
      <c r="A11" t="s">
        <v>320</v>
      </c>
      <c r="B11">
        <v>2808534.4652672708</v>
      </c>
    </row>
    <row r="12" spans="1:2">
      <c r="A12" t="s">
        <v>321</v>
      </c>
      <c r="B12">
        <v>2808534.4652672708</v>
      </c>
    </row>
    <row r="13" spans="1:2">
      <c r="A13" t="s">
        <v>322</v>
      </c>
      <c r="B13">
        <v>2808534.4652672708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/>
  </sheetViews>
  <sheetFormatPr defaultRowHeight="14.5"/>
  <cols>
    <col min="1" max="1" width="11.7265625" bestFit="1" customWidth="1"/>
    <col min="2" max="3" width="10.26953125" bestFit="1" customWidth="1"/>
    <col min="4" max="4" width="11.7265625" bestFit="1" customWidth="1"/>
  </cols>
  <sheetData>
    <row r="1" spans="1:5">
      <c r="A1" s="1" t="s">
        <v>4</v>
      </c>
      <c r="B1" s="1" t="s">
        <v>5</v>
      </c>
      <c r="C1" s="1" t="s">
        <v>6</v>
      </c>
      <c r="D1" s="1" t="s">
        <v>7</v>
      </c>
      <c r="E1" s="3"/>
    </row>
    <row r="2" spans="1:5">
      <c r="A2" t="s">
        <v>8</v>
      </c>
      <c r="B2" t="s">
        <v>9</v>
      </c>
      <c r="C2" t="s">
        <v>10</v>
      </c>
      <c r="D2" t="s">
        <v>11</v>
      </c>
    </row>
  </sheetData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1"/>
  <sheetViews>
    <sheetView workbookViewId="0">
      <selection activeCell="B1" sqref="B1"/>
    </sheetView>
  </sheetViews>
  <sheetFormatPr defaultRowHeight="14.5"/>
  <cols>
    <col min="1" max="1" width="5.453125" bestFit="1" customWidth="1"/>
    <col min="2" max="2" width="7.453125" bestFit="1" customWidth="1"/>
    <col min="3" max="3" width="11" bestFit="1" customWidth="1"/>
    <col min="4" max="4" width="71.36328125" bestFit="1" customWidth="1"/>
    <col min="5" max="5" width="18.453125" bestFit="1" customWidth="1"/>
    <col min="6" max="6" width="9.90625" bestFit="1" customWidth="1"/>
    <col min="7" max="7" width="20.7265625" bestFit="1" customWidth="1"/>
    <col min="8" max="8" width="60" bestFit="1" customWidth="1"/>
  </cols>
  <sheetData>
    <row r="1" spans="1:8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19</v>
      </c>
    </row>
    <row r="2" spans="1:8">
      <c r="A2" t="s">
        <v>20</v>
      </c>
      <c r="B2" t="s">
        <v>21</v>
      </c>
      <c r="C2" t="s">
        <v>22</v>
      </c>
      <c r="D2" t="s">
        <v>23</v>
      </c>
      <c r="E2" t="s">
        <v>24</v>
      </c>
      <c r="F2" t="s">
        <v>6</v>
      </c>
      <c r="G2" t="s">
        <v>25</v>
      </c>
      <c r="H2" t="s">
        <v>26</v>
      </c>
    </row>
    <row r="3" spans="1:8">
      <c r="A3" t="s">
        <v>20</v>
      </c>
      <c r="B3" t="s">
        <v>27</v>
      </c>
      <c r="C3" t="s">
        <v>22</v>
      </c>
      <c r="D3" t="s">
        <v>28</v>
      </c>
      <c r="E3" t="s">
        <v>29</v>
      </c>
      <c r="F3" t="s">
        <v>4</v>
      </c>
      <c r="G3" t="s">
        <v>30</v>
      </c>
      <c r="H3" t="s">
        <v>31</v>
      </c>
    </row>
    <row r="4" spans="1:8">
      <c r="A4" t="s">
        <v>20</v>
      </c>
      <c r="B4" t="s">
        <v>32</v>
      </c>
      <c r="C4" t="s">
        <v>22</v>
      </c>
      <c r="D4" t="s">
        <v>33</v>
      </c>
      <c r="E4" t="s">
        <v>34</v>
      </c>
      <c r="F4" t="s">
        <v>5</v>
      </c>
      <c r="G4" t="s">
        <v>35</v>
      </c>
      <c r="H4" t="s">
        <v>36</v>
      </c>
    </row>
    <row r="5" spans="1:8">
      <c r="A5" t="s">
        <v>37</v>
      </c>
      <c r="B5" t="s">
        <v>21</v>
      </c>
      <c r="C5" t="s">
        <v>22</v>
      </c>
      <c r="D5" t="s">
        <v>38</v>
      </c>
      <c r="E5" t="s">
        <v>39</v>
      </c>
      <c r="F5" t="s">
        <v>4</v>
      </c>
      <c r="G5" t="s">
        <v>40</v>
      </c>
      <c r="H5" t="s">
        <v>41</v>
      </c>
    </row>
    <row r="6" spans="1:8">
      <c r="A6" t="s">
        <v>37</v>
      </c>
      <c r="B6" t="s">
        <v>27</v>
      </c>
      <c r="C6" t="s">
        <v>22</v>
      </c>
      <c r="D6" t="s">
        <v>42</v>
      </c>
      <c r="E6" t="s">
        <v>43</v>
      </c>
      <c r="F6" t="s">
        <v>5</v>
      </c>
      <c r="G6" t="s">
        <v>44</v>
      </c>
      <c r="H6" t="s">
        <v>45</v>
      </c>
    </row>
    <row r="7" spans="1:8">
      <c r="A7" t="s">
        <v>37</v>
      </c>
      <c r="B7" t="s">
        <v>27</v>
      </c>
      <c r="C7" t="s">
        <v>22</v>
      </c>
      <c r="D7" t="s">
        <v>46</v>
      </c>
      <c r="E7" t="s">
        <v>39</v>
      </c>
      <c r="F7" t="s">
        <v>4</v>
      </c>
      <c r="G7" t="s">
        <v>47</v>
      </c>
      <c r="H7" t="s">
        <v>48</v>
      </c>
    </row>
    <row r="8" spans="1:8">
      <c r="A8" t="s">
        <v>49</v>
      </c>
      <c r="B8" t="s">
        <v>50</v>
      </c>
      <c r="C8" t="s">
        <v>51</v>
      </c>
      <c r="D8" t="s">
        <v>52</v>
      </c>
      <c r="E8" t="s">
        <v>53</v>
      </c>
      <c r="F8" t="s">
        <v>4</v>
      </c>
      <c r="G8" t="s">
        <v>54</v>
      </c>
      <c r="H8" t="s">
        <v>55</v>
      </c>
    </row>
    <row r="9" spans="1:8">
      <c r="A9" t="s">
        <v>49</v>
      </c>
      <c r="B9" t="s">
        <v>50</v>
      </c>
      <c r="C9" t="s">
        <v>51</v>
      </c>
      <c r="D9" t="s">
        <v>56</v>
      </c>
      <c r="E9" t="s">
        <v>57</v>
      </c>
      <c r="F9" t="s">
        <v>4</v>
      </c>
      <c r="G9" t="s">
        <v>58</v>
      </c>
      <c r="H9" t="s">
        <v>59</v>
      </c>
    </row>
    <row r="10" spans="1:8">
      <c r="A10" t="s">
        <v>49</v>
      </c>
      <c r="B10" t="s">
        <v>32</v>
      </c>
      <c r="C10" t="s">
        <v>51</v>
      </c>
      <c r="D10" t="s">
        <v>60</v>
      </c>
      <c r="E10" t="s">
        <v>57</v>
      </c>
      <c r="F10" t="s">
        <v>4</v>
      </c>
      <c r="G10" t="s">
        <v>61</v>
      </c>
      <c r="H10" t="s">
        <v>62</v>
      </c>
    </row>
    <row r="11" spans="1:8">
      <c r="A11" t="s">
        <v>49</v>
      </c>
      <c r="B11" t="s">
        <v>32</v>
      </c>
      <c r="C11" t="s">
        <v>51</v>
      </c>
      <c r="D11" t="s">
        <v>63</v>
      </c>
      <c r="E11" t="s">
        <v>57</v>
      </c>
      <c r="F11" t="s">
        <v>4</v>
      </c>
      <c r="G11" t="s">
        <v>64</v>
      </c>
      <c r="H11" t="s">
        <v>65</v>
      </c>
    </row>
    <row r="12" spans="1:8">
      <c r="A12" t="s">
        <v>66</v>
      </c>
      <c r="B12" t="s">
        <v>21</v>
      </c>
      <c r="C12" t="s">
        <v>67</v>
      </c>
      <c r="D12" t="s">
        <v>68</v>
      </c>
      <c r="E12" t="s">
        <v>57</v>
      </c>
      <c r="F12" t="s">
        <v>4</v>
      </c>
      <c r="G12" t="s">
        <v>69</v>
      </c>
      <c r="H12" t="s">
        <v>62</v>
      </c>
    </row>
    <row r="13" spans="1:8">
      <c r="A13" t="s">
        <v>66</v>
      </c>
      <c r="B13" t="s">
        <v>21</v>
      </c>
      <c r="C13" t="s">
        <v>67</v>
      </c>
      <c r="D13" t="s">
        <v>70</v>
      </c>
      <c r="E13" t="s">
        <v>57</v>
      </c>
      <c r="F13" t="s">
        <v>4</v>
      </c>
      <c r="G13" t="s">
        <v>71</v>
      </c>
      <c r="H13" t="s">
        <v>62</v>
      </c>
    </row>
    <row r="14" spans="1:8">
      <c r="A14" t="s">
        <v>66</v>
      </c>
      <c r="B14" t="s">
        <v>27</v>
      </c>
      <c r="C14" t="s">
        <v>67</v>
      </c>
      <c r="D14" t="s">
        <v>72</v>
      </c>
      <c r="E14" t="s">
        <v>57</v>
      </c>
      <c r="F14" t="s">
        <v>4</v>
      </c>
      <c r="G14" t="s">
        <v>73</v>
      </c>
      <c r="H14" t="s">
        <v>74</v>
      </c>
    </row>
    <row r="15" spans="1:8">
      <c r="A15" t="s">
        <v>66</v>
      </c>
      <c r="B15" t="s">
        <v>32</v>
      </c>
      <c r="C15" t="s">
        <v>67</v>
      </c>
      <c r="D15" t="s">
        <v>75</v>
      </c>
      <c r="E15" t="s">
        <v>57</v>
      </c>
      <c r="F15" t="s">
        <v>4</v>
      </c>
      <c r="G15" t="s">
        <v>76</v>
      </c>
      <c r="H15" t="s">
        <v>62</v>
      </c>
    </row>
    <row r="16" spans="1:8">
      <c r="A16" t="s">
        <v>66</v>
      </c>
      <c r="B16" t="s">
        <v>32</v>
      </c>
      <c r="C16" t="s">
        <v>67</v>
      </c>
      <c r="D16" t="s">
        <v>77</v>
      </c>
      <c r="E16" t="s">
        <v>57</v>
      </c>
      <c r="F16" t="s">
        <v>4</v>
      </c>
      <c r="G16" t="s">
        <v>78</v>
      </c>
      <c r="H16" t="s">
        <v>62</v>
      </c>
    </row>
    <row r="17" spans="1:8">
      <c r="A17" t="s">
        <v>66</v>
      </c>
      <c r="B17" t="s">
        <v>32</v>
      </c>
      <c r="C17" t="s">
        <v>67</v>
      </c>
      <c r="D17" t="s">
        <v>79</v>
      </c>
      <c r="E17" t="s">
        <v>57</v>
      </c>
      <c r="F17" t="s">
        <v>4</v>
      </c>
      <c r="G17" t="s">
        <v>80</v>
      </c>
      <c r="H17" t="s">
        <v>81</v>
      </c>
    </row>
    <row r="18" spans="1:8">
      <c r="A18" t="s">
        <v>82</v>
      </c>
      <c r="B18" t="s">
        <v>21</v>
      </c>
      <c r="C18" t="s">
        <v>51</v>
      </c>
      <c r="D18" t="s">
        <v>83</v>
      </c>
      <c r="E18" t="s">
        <v>84</v>
      </c>
      <c r="F18" t="s">
        <v>5</v>
      </c>
      <c r="G18" t="s">
        <v>85</v>
      </c>
      <c r="H18" t="s">
        <v>86</v>
      </c>
    </row>
    <row r="19" spans="1:8">
      <c r="A19" t="s">
        <v>82</v>
      </c>
      <c r="B19" t="s">
        <v>21</v>
      </c>
      <c r="C19" t="s">
        <v>67</v>
      </c>
      <c r="D19" t="s">
        <v>87</v>
      </c>
      <c r="E19" t="s">
        <v>88</v>
      </c>
      <c r="F19" t="s">
        <v>6</v>
      </c>
      <c r="G19" t="s">
        <v>89</v>
      </c>
      <c r="H19" t="s">
        <v>90</v>
      </c>
    </row>
    <row r="20" spans="1:8">
      <c r="A20" t="s">
        <v>82</v>
      </c>
      <c r="B20" t="s">
        <v>27</v>
      </c>
      <c r="C20" t="s">
        <v>67</v>
      </c>
      <c r="D20" t="s">
        <v>91</v>
      </c>
      <c r="E20" t="s">
        <v>57</v>
      </c>
      <c r="F20" t="s">
        <v>4</v>
      </c>
      <c r="G20" t="s">
        <v>92</v>
      </c>
      <c r="H20" t="s">
        <v>62</v>
      </c>
    </row>
    <row r="21" spans="1:8">
      <c r="A21" t="s">
        <v>82</v>
      </c>
      <c r="B21" t="s">
        <v>32</v>
      </c>
      <c r="C21" t="s">
        <v>67</v>
      </c>
      <c r="D21" t="s">
        <v>93</v>
      </c>
      <c r="E21" t="s">
        <v>57</v>
      </c>
      <c r="F21" t="s">
        <v>4</v>
      </c>
      <c r="G21" t="s">
        <v>94</v>
      </c>
      <c r="H21" t="s">
        <v>62</v>
      </c>
    </row>
    <row r="22" spans="1:8">
      <c r="A22" t="s">
        <v>82</v>
      </c>
      <c r="B22" t="s">
        <v>32</v>
      </c>
      <c r="C22" t="s">
        <v>67</v>
      </c>
      <c r="D22" t="s">
        <v>95</v>
      </c>
      <c r="E22" t="s">
        <v>57</v>
      </c>
      <c r="F22" t="s">
        <v>4</v>
      </c>
      <c r="G22" t="s">
        <v>96</v>
      </c>
      <c r="H22" t="s">
        <v>97</v>
      </c>
    </row>
    <row r="23" spans="1:8">
      <c r="A23" t="s">
        <v>82</v>
      </c>
      <c r="B23" t="s">
        <v>32</v>
      </c>
      <c r="C23" t="s">
        <v>67</v>
      </c>
      <c r="D23" t="s">
        <v>98</v>
      </c>
      <c r="E23" t="s">
        <v>57</v>
      </c>
      <c r="F23" t="s">
        <v>4</v>
      </c>
      <c r="G23" t="s">
        <v>99</v>
      </c>
      <c r="H23" t="s">
        <v>100</v>
      </c>
    </row>
    <row r="24" spans="1:8">
      <c r="A24" t="s">
        <v>82</v>
      </c>
      <c r="B24" t="s">
        <v>32</v>
      </c>
      <c r="C24" t="s">
        <v>67</v>
      </c>
      <c r="D24" t="s">
        <v>101</v>
      </c>
      <c r="E24" t="s">
        <v>57</v>
      </c>
      <c r="F24" t="s">
        <v>4</v>
      </c>
      <c r="G24" t="s">
        <v>102</v>
      </c>
      <c r="H24" t="s">
        <v>62</v>
      </c>
    </row>
    <row r="25" spans="1:8">
      <c r="A25" t="s">
        <v>82</v>
      </c>
      <c r="B25" t="s">
        <v>32</v>
      </c>
      <c r="C25" t="s">
        <v>67</v>
      </c>
      <c r="D25" t="s">
        <v>103</v>
      </c>
      <c r="E25" t="s">
        <v>104</v>
      </c>
      <c r="F25" t="s">
        <v>5</v>
      </c>
      <c r="G25" t="s">
        <v>105</v>
      </c>
      <c r="H25" t="s">
        <v>106</v>
      </c>
    </row>
    <row r="26" spans="1:8">
      <c r="A26" t="s">
        <v>82</v>
      </c>
      <c r="B26" t="s">
        <v>32</v>
      </c>
      <c r="C26" t="s">
        <v>67</v>
      </c>
      <c r="D26" t="s">
        <v>107</v>
      </c>
      <c r="E26" t="s">
        <v>88</v>
      </c>
      <c r="F26" t="s">
        <v>6</v>
      </c>
      <c r="G26" t="s">
        <v>108</v>
      </c>
      <c r="H26" t="s">
        <v>109</v>
      </c>
    </row>
    <row r="27" spans="1:8">
      <c r="A27" t="s">
        <v>82</v>
      </c>
      <c r="B27" t="s">
        <v>32</v>
      </c>
      <c r="C27" t="s">
        <v>67</v>
      </c>
      <c r="D27" t="s">
        <v>110</v>
      </c>
      <c r="E27" t="s">
        <v>57</v>
      </c>
      <c r="F27" t="s">
        <v>4</v>
      </c>
      <c r="G27" t="s">
        <v>111</v>
      </c>
      <c r="H27" t="s">
        <v>112</v>
      </c>
    </row>
    <row r="28" spans="1:8">
      <c r="A28" t="s">
        <v>113</v>
      </c>
      <c r="B28" t="s">
        <v>21</v>
      </c>
      <c r="C28" t="s">
        <v>67</v>
      </c>
      <c r="D28" t="s">
        <v>114</v>
      </c>
      <c r="E28" t="s">
        <v>57</v>
      </c>
      <c r="F28" t="s">
        <v>4</v>
      </c>
      <c r="G28" t="s">
        <v>115</v>
      </c>
      <c r="H28" t="s">
        <v>116</v>
      </c>
    </row>
    <row r="29" spans="1:8">
      <c r="A29" t="s">
        <v>113</v>
      </c>
      <c r="B29" t="s">
        <v>21</v>
      </c>
      <c r="C29" t="s">
        <v>67</v>
      </c>
      <c r="D29" t="s">
        <v>117</v>
      </c>
      <c r="E29" t="s">
        <v>57</v>
      </c>
      <c r="F29" t="s">
        <v>4</v>
      </c>
      <c r="G29" t="s">
        <v>118</v>
      </c>
      <c r="H29" t="s">
        <v>119</v>
      </c>
    </row>
    <row r="30" spans="1:8">
      <c r="A30" t="s">
        <v>113</v>
      </c>
      <c r="B30" t="s">
        <v>27</v>
      </c>
      <c r="C30" t="s">
        <v>67</v>
      </c>
      <c r="D30" t="s">
        <v>120</v>
      </c>
      <c r="E30" t="s">
        <v>57</v>
      </c>
      <c r="F30" t="s">
        <v>4</v>
      </c>
      <c r="G30" t="s">
        <v>121</v>
      </c>
      <c r="H30" t="s">
        <v>122</v>
      </c>
    </row>
    <row r="31" spans="1:8">
      <c r="A31" t="s">
        <v>113</v>
      </c>
      <c r="B31" t="s">
        <v>32</v>
      </c>
      <c r="C31" t="s">
        <v>51</v>
      </c>
      <c r="D31" t="s">
        <v>123</v>
      </c>
      <c r="E31" t="s">
        <v>53</v>
      </c>
      <c r="F31" t="s">
        <v>4</v>
      </c>
      <c r="G31" t="s">
        <v>124</v>
      </c>
      <c r="H31" t="s">
        <v>125</v>
      </c>
    </row>
    <row r="32" spans="1:8">
      <c r="A32" t="s">
        <v>113</v>
      </c>
      <c r="B32" t="s">
        <v>32</v>
      </c>
      <c r="C32" t="s">
        <v>67</v>
      </c>
      <c r="D32" t="s">
        <v>126</v>
      </c>
      <c r="E32" t="s">
        <v>57</v>
      </c>
      <c r="F32" t="s">
        <v>4</v>
      </c>
      <c r="G32" t="s">
        <v>127</v>
      </c>
      <c r="H32" t="s">
        <v>128</v>
      </c>
    </row>
    <row r="33" spans="1:8">
      <c r="A33" t="s">
        <v>113</v>
      </c>
      <c r="B33" t="s">
        <v>32</v>
      </c>
      <c r="C33" t="s">
        <v>67</v>
      </c>
      <c r="D33" t="s">
        <v>129</v>
      </c>
      <c r="E33" t="s">
        <v>57</v>
      </c>
      <c r="F33" t="s">
        <v>4</v>
      </c>
      <c r="G33" t="s">
        <v>130</v>
      </c>
      <c r="H33" t="s">
        <v>62</v>
      </c>
    </row>
    <row r="34" spans="1:8">
      <c r="A34" t="s">
        <v>131</v>
      </c>
      <c r="B34" t="s">
        <v>21</v>
      </c>
      <c r="C34" t="s">
        <v>67</v>
      </c>
      <c r="D34" t="s">
        <v>132</v>
      </c>
      <c r="E34" t="s">
        <v>57</v>
      </c>
      <c r="F34" t="s">
        <v>4</v>
      </c>
      <c r="G34" t="s">
        <v>133</v>
      </c>
      <c r="H34" t="s">
        <v>134</v>
      </c>
    </row>
    <row r="35" spans="1:8">
      <c r="A35" t="s">
        <v>131</v>
      </c>
      <c r="B35" t="s">
        <v>32</v>
      </c>
      <c r="C35" t="s">
        <v>67</v>
      </c>
      <c r="D35" t="s">
        <v>135</v>
      </c>
      <c r="E35" t="s">
        <v>104</v>
      </c>
      <c r="F35" t="s">
        <v>5</v>
      </c>
      <c r="G35" t="s">
        <v>136</v>
      </c>
      <c r="H35" t="s">
        <v>137</v>
      </c>
    </row>
    <row r="36" spans="1:8">
      <c r="A36" t="s">
        <v>138</v>
      </c>
      <c r="B36" t="s">
        <v>50</v>
      </c>
      <c r="C36" t="s">
        <v>67</v>
      </c>
      <c r="D36" t="s">
        <v>139</v>
      </c>
      <c r="E36" t="s">
        <v>140</v>
      </c>
      <c r="F36" t="s">
        <v>4</v>
      </c>
      <c r="G36" t="s">
        <v>141</v>
      </c>
      <c r="H36" t="s">
        <v>142</v>
      </c>
    </row>
    <row r="37" spans="1:8">
      <c r="A37" t="s">
        <v>138</v>
      </c>
      <c r="B37" t="s">
        <v>50</v>
      </c>
      <c r="C37" t="s">
        <v>67</v>
      </c>
      <c r="D37" t="s">
        <v>143</v>
      </c>
      <c r="E37" t="s">
        <v>140</v>
      </c>
      <c r="F37" t="s">
        <v>4</v>
      </c>
      <c r="G37" t="s">
        <v>40</v>
      </c>
      <c r="H37" t="s">
        <v>142</v>
      </c>
    </row>
    <row r="38" spans="1:8">
      <c r="A38" t="s">
        <v>138</v>
      </c>
      <c r="B38" t="s">
        <v>32</v>
      </c>
      <c r="C38" t="s">
        <v>67</v>
      </c>
      <c r="D38" t="s">
        <v>144</v>
      </c>
      <c r="E38" t="s">
        <v>57</v>
      </c>
      <c r="F38" t="s">
        <v>4</v>
      </c>
      <c r="G38" t="s">
        <v>145</v>
      </c>
      <c r="H38" t="s">
        <v>142</v>
      </c>
    </row>
    <row r="39" spans="1:8">
      <c r="A39" t="s">
        <v>138</v>
      </c>
      <c r="B39" t="s">
        <v>32</v>
      </c>
      <c r="C39" t="s">
        <v>67</v>
      </c>
      <c r="D39" t="s">
        <v>146</v>
      </c>
      <c r="E39" t="s">
        <v>104</v>
      </c>
      <c r="F39" t="s">
        <v>5</v>
      </c>
      <c r="G39" t="s">
        <v>147</v>
      </c>
      <c r="H39" t="s">
        <v>148</v>
      </c>
    </row>
    <row r="40" spans="1:8">
      <c r="A40" t="s">
        <v>138</v>
      </c>
      <c r="B40" t="s">
        <v>32</v>
      </c>
      <c r="C40" t="s">
        <v>67</v>
      </c>
      <c r="D40" t="s">
        <v>149</v>
      </c>
      <c r="E40" t="s">
        <v>88</v>
      </c>
      <c r="F40" t="s">
        <v>6</v>
      </c>
      <c r="G40" t="s">
        <v>150</v>
      </c>
      <c r="H40" t="s">
        <v>151</v>
      </c>
    </row>
    <row r="41" spans="1:8">
      <c r="A41" t="s">
        <v>152</v>
      </c>
      <c r="B41" t="s">
        <v>32</v>
      </c>
      <c r="C41" t="s">
        <v>67</v>
      </c>
      <c r="D41" t="s">
        <v>153</v>
      </c>
      <c r="E41" t="s">
        <v>88</v>
      </c>
      <c r="F41" t="s">
        <v>6</v>
      </c>
      <c r="G41" t="s">
        <v>154</v>
      </c>
      <c r="H41" t="s">
        <v>142</v>
      </c>
    </row>
  </sheetData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9"/>
  <sheetViews>
    <sheetView workbookViewId="0"/>
  </sheetViews>
  <sheetFormatPr defaultRowHeight="14.5"/>
  <sheetData>
    <row r="1" spans="1:5">
      <c r="A1" s="1" t="s">
        <v>13</v>
      </c>
      <c r="B1" s="1" t="s">
        <v>4</v>
      </c>
      <c r="C1" s="1" t="s">
        <v>5</v>
      </c>
      <c r="D1" s="1" t="s">
        <v>6</v>
      </c>
      <c r="E1" s="1" t="s">
        <v>7</v>
      </c>
    </row>
    <row r="2" spans="1:5">
      <c r="A2" t="s">
        <v>155</v>
      </c>
      <c r="B2">
        <v>0.13</v>
      </c>
      <c r="C2">
        <v>3.9600000000000003E-2</v>
      </c>
      <c r="D2">
        <v>8.8200000000000001E-2</v>
      </c>
      <c r="E2">
        <v>8.9900000000000008E-2</v>
      </c>
    </row>
    <row r="3" spans="1:5">
      <c r="A3" t="s">
        <v>156</v>
      </c>
      <c r="B3">
        <v>0.1333</v>
      </c>
      <c r="C3">
        <v>2.87E-2</v>
      </c>
      <c r="D3">
        <v>8.6199999999999999E-2</v>
      </c>
      <c r="E3">
        <v>8.8000000000000009E-2</v>
      </c>
    </row>
    <row r="4" spans="1:5">
      <c r="A4" t="s">
        <v>157</v>
      </c>
      <c r="B4">
        <v>0.10100000000000001</v>
      </c>
      <c r="C4">
        <v>2.1100000000000001E-2</v>
      </c>
      <c r="D4">
        <v>6.59E-2</v>
      </c>
      <c r="E4">
        <v>6.7099999999999993E-2</v>
      </c>
    </row>
    <row r="5" spans="1:5">
      <c r="A5" t="s">
        <v>158</v>
      </c>
      <c r="B5">
        <v>7.8700000000000006E-2</v>
      </c>
      <c r="C5">
        <v>3.8800000000000001E-2</v>
      </c>
      <c r="D5">
        <v>7.8700000000000006E-2</v>
      </c>
      <c r="E5">
        <v>6.5000000000000002E-2</v>
      </c>
    </row>
    <row r="6" spans="1:5">
      <c r="A6" t="s">
        <v>159</v>
      </c>
      <c r="B6">
        <v>7.0099999999999996E-2</v>
      </c>
      <c r="C6">
        <v>4.1900000000000007E-2</v>
      </c>
      <c r="D6">
        <v>9.06E-2</v>
      </c>
      <c r="E6">
        <v>6.4500000000000002E-2</v>
      </c>
    </row>
    <row r="7" spans="1:5">
      <c r="A7" t="s">
        <v>160</v>
      </c>
      <c r="B7">
        <v>0.1138</v>
      </c>
      <c r="C7">
        <v>4.24E-2</v>
      </c>
      <c r="D7">
        <v>5.9299999999999999E-2</v>
      </c>
      <c r="E7">
        <v>7.9399999999999998E-2</v>
      </c>
    </row>
    <row r="8" spans="1:5">
      <c r="A8" t="s">
        <v>161</v>
      </c>
      <c r="B8">
        <v>0.10100000000000001</v>
      </c>
      <c r="C8">
        <v>3.9E-2</v>
      </c>
      <c r="D8">
        <v>0.20799999999999999</v>
      </c>
      <c r="E8">
        <v>0.106</v>
      </c>
    </row>
    <row r="9" spans="1:5">
      <c r="A9" t="s">
        <v>162</v>
      </c>
      <c r="B9">
        <v>0.1125</v>
      </c>
      <c r="C9">
        <v>4.0300000000000002E-2</v>
      </c>
      <c r="D9">
        <v>0.15310000000000001</v>
      </c>
      <c r="E9">
        <v>9.9000000000000005E-2</v>
      </c>
    </row>
    <row r="10" spans="1:5">
      <c r="A10" t="s">
        <v>163</v>
      </c>
      <c r="B10">
        <v>9.9700000000000011E-2</v>
      </c>
      <c r="C10">
        <v>8.4199999999999997E-2</v>
      </c>
      <c r="D10">
        <v>0.1293</v>
      </c>
      <c r="E10">
        <v>0.1012</v>
      </c>
    </row>
    <row r="11" spans="1:5">
      <c r="A11" t="s">
        <v>164</v>
      </c>
      <c r="B11">
        <v>0.1022</v>
      </c>
      <c r="C11">
        <v>3.3099999999999997E-2</v>
      </c>
      <c r="D11">
        <v>0.1163</v>
      </c>
      <c r="E11">
        <v>8.199999999999999E-2</v>
      </c>
    </row>
    <row r="12" spans="1:5">
      <c r="A12" t="s">
        <v>165</v>
      </c>
      <c r="B12">
        <v>0.09</v>
      </c>
      <c r="C12">
        <v>1.4E-2</v>
      </c>
      <c r="D12">
        <v>0.1026</v>
      </c>
      <c r="E12">
        <v>6.7199999999999996E-2</v>
      </c>
    </row>
    <row r="13" spans="1:5">
      <c r="A13" t="s">
        <v>166</v>
      </c>
      <c r="B13">
        <v>9.4800000000000009E-2</v>
      </c>
      <c r="C13">
        <v>1.12E-2</v>
      </c>
      <c r="D13">
        <v>8.1500000000000003E-2</v>
      </c>
      <c r="E13">
        <v>6.3700000000000007E-2</v>
      </c>
    </row>
    <row r="14" spans="1:5">
      <c r="A14" t="s">
        <v>167</v>
      </c>
      <c r="B14">
        <v>7.0000000000000007E-2</v>
      </c>
      <c r="C14">
        <v>6.0000000000000001E-3</v>
      </c>
      <c r="D14">
        <v>3.2000000000000001E-2</v>
      </c>
      <c r="E14">
        <v>0.04</v>
      </c>
    </row>
    <row r="15" spans="1:5">
      <c r="A15" t="s">
        <v>168</v>
      </c>
      <c r="B15">
        <v>5.3199999999999997E-2</v>
      </c>
      <c r="C15">
        <v>1.09E-2</v>
      </c>
      <c r="D15">
        <v>1.9800000000000002E-2</v>
      </c>
      <c r="E15">
        <v>3.15E-2</v>
      </c>
    </row>
    <row r="16" spans="1:5">
      <c r="A16" t="s">
        <v>169</v>
      </c>
      <c r="B16">
        <v>3.5000000000000003E-2</v>
      </c>
      <c r="C16">
        <v>9.0000000000000011E-3</v>
      </c>
      <c r="D16">
        <v>1.6E-2</v>
      </c>
      <c r="E16">
        <v>2.1999999999999999E-2</v>
      </c>
    </row>
    <row r="17" spans="1:5">
      <c r="A17" t="s">
        <v>170</v>
      </c>
      <c r="B17">
        <v>2.4E-2</v>
      </c>
      <c r="C17">
        <v>8.0000000000000002E-3</v>
      </c>
      <c r="D17">
        <v>1.0999999999999999E-2</v>
      </c>
      <c r="E17">
        <v>1.6E-2</v>
      </c>
    </row>
    <row r="18" spans="1:5">
      <c r="A18" t="s">
        <v>171</v>
      </c>
      <c r="B18">
        <v>2.5999999999999999E-2</v>
      </c>
      <c r="C18">
        <v>2.1000000000000001E-2</v>
      </c>
      <c r="D18">
        <v>1.9E-2</v>
      </c>
      <c r="E18">
        <v>2.3E-2</v>
      </c>
    </row>
    <row r="19" spans="1:5">
      <c r="A19" t="s">
        <v>172</v>
      </c>
      <c r="B19">
        <v>3.1E-2</v>
      </c>
      <c r="C19">
        <v>9.0000000000000011E-3</v>
      </c>
      <c r="D19">
        <v>1.7999999999999999E-2</v>
      </c>
      <c r="E19">
        <v>2.1000000000000001E-2</v>
      </c>
    </row>
    <row r="20" spans="1:5">
      <c r="A20" t="s">
        <v>173</v>
      </c>
      <c r="B20">
        <v>0.02</v>
      </c>
      <c r="C20">
        <v>8.0000000000000002E-3</v>
      </c>
      <c r="D20">
        <v>2.4E-2</v>
      </c>
      <c r="E20">
        <v>1.7000000000000001E-2</v>
      </c>
    </row>
    <row r="21" spans="1:5">
      <c r="A21" t="s">
        <v>174</v>
      </c>
      <c r="B21">
        <v>2.1000000000000001E-2</v>
      </c>
      <c r="C21">
        <v>1.0999999999999999E-2</v>
      </c>
      <c r="D21">
        <v>2.4E-2</v>
      </c>
      <c r="E21">
        <v>1.7999999999999999E-2</v>
      </c>
    </row>
    <row r="22" spans="1:5">
      <c r="A22" t="s">
        <v>175</v>
      </c>
      <c r="B22">
        <v>2.1999999999999999E-2</v>
      </c>
      <c r="C22">
        <v>1.4999999999999999E-2</v>
      </c>
      <c r="D22">
        <v>2.3E-2</v>
      </c>
      <c r="E22">
        <v>0.02</v>
      </c>
    </row>
    <row r="23" spans="1:5">
      <c r="A23" t="s">
        <v>176</v>
      </c>
      <c r="B23">
        <v>2.5999999999999999E-2</v>
      </c>
      <c r="C23">
        <v>1.7999999999999999E-2</v>
      </c>
      <c r="D23">
        <v>2.8000000000000001E-2</v>
      </c>
      <c r="E23">
        <v>2.4E-2</v>
      </c>
    </row>
    <row r="24" spans="1:5">
      <c r="A24" t="s">
        <v>177</v>
      </c>
      <c r="B24">
        <v>2.9000000000000001E-2</v>
      </c>
      <c r="C24">
        <v>2.3E-2</v>
      </c>
      <c r="D24">
        <v>3.1E-2</v>
      </c>
      <c r="E24">
        <v>2.8000000000000001E-2</v>
      </c>
    </row>
    <row r="25" spans="1:5">
      <c r="A25" t="s">
        <v>178</v>
      </c>
      <c r="B25">
        <v>2.8000000000000001E-2</v>
      </c>
      <c r="C25">
        <v>0.02</v>
      </c>
      <c r="D25">
        <v>2.7E-2</v>
      </c>
      <c r="E25">
        <v>2.5000000000000001E-2</v>
      </c>
    </row>
    <row r="26" spans="1:5">
      <c r="A26" t="s">
        <v>179</v>
      </c>
      <c r="B26">
        <v>4.4999999999999998E-2</v>
      </c>
      <c r="C26">
        <v>2.3E-2</v>
      </c>
      <c r="D26">
        <v>4.4999999999999998E-2</v>
      </c>
      <c r="E26">
        <v>3.7999999999999999E-2</v>
      </c>
    </row>
    <row r="27" spans="1:5">
      <c r="A27" t="s">
        <v>180</v>
      </c>
      <c r="B27">
        <v>4.3999999999999997E-2</v>
      </c>
      <c r="C27">
        <v>2.1000000000000001E-2</v>
      </c>
      <c r="D27">
        <v>3.5999999999999997E-2</v>
      </c>
      <c r="E27">
        <v>3.4000000000000002E-2</v>
      </c>
    </row>
    <row r="28" spans="1:5">
      <c r="A28" t="s">
        <v>181</v>
      </c>
      <c r="B28">
        <v>4.5999999999999999E-2</v>
      </c>
      <c r="C28">
        <v>1.4E-2</v>
      </c>
      <c r="D28">
        <v>2.1999999999999999E-2</v>
      </c>
      <c r="E28">
        <v>0.03</v>
      </c>
    </row>
    <row r="29" spans="1:5">
      <c r="A29" t="s">
        <v>182</v>
      </c>
      <c r="B29">
        <v>4.8000000000000001E-2</v>
      </c>
      <c r="C29">
        <v>1.7999999999999999E-2</v>
      </c>
      <c r="D29">
        <v>2.7E-2</v>
      </c>
      <c r="E29">
        <v>3.3000000000000002E-2</v>
      </c>
    </row>
  </sheetData>
  <phoneticPr fontId="3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9"/>
  <sheetViews>
    <sheetView workbookViewId="0"/>
  </sheetViews>
  <sheetFormatPr defaultRowHeight="14.5"/>
  <sheetData>
    <row r="1" spans="1:5">
      <c r="A1" s="1" t="s">
        <v>13</v>
      </c>
      <c r="B1" s="1" t="s">
        <v>4</v>
      </c>
      <c r="C1" s="1" t="s">
        <v>6</v>
      </c>
      <c r="D1" s="1" t="s">
        <v>5</v>
      </c>
      <c r="E1" s="1" t="s">
        <v>7</v>
      </c>
    </row>
    <row r="2" spans="1:5">
      <c r="A2" t="s">
        <v>155</v>
      </c>
      <c r="B2" t="s">
        <v>183</v>
      </c>
      <c r="C2" t="s">
        <v>184</v>
      </c>
      <c r="D2" t="s">
        <v>185</v>
      </c>
      <c r="E2" t="s">
        <v>186</v>
      </c>
    </row>
    <row r="3" spans="1:5">
      <c r="A3" t="s">
        <v>156</v>
      </c>
      <c r="B3" t="s">
        <v>187</v>
      </c>
      <c r="C3" t="s">
        <v>188</v>
      </c>
      <c r="D3" t="s">
        <v>189</v>
      </c>
      <c r="E3" t="s">
        <v>190</v>
      </c>
    </row>
    <row r="4" spans="1:5">
      <c r="A4" t="s">
        <v>157</v>
      </c>
      <c r="B4" t="s">
        <v>191</v>
      </c>
      <c r="C4" t="s">
        <v>192</v>
      </c>
      <c r="D4" t="s">
        <v>193</v>
      </c>
      <c r="E4" t="s">
        <v>194</v>
      </c>
    </row>
    <row r="5" spans="1:5">
      <c r="A5" t="s">
        <v>158</v>
      </c>
      <c r="B5" t="s">
        <v>195</v>
      </c>
      <c r="C5" t="s">
        <v>196</v>
      </c>
      <c r="D5" t="s">
        <v>197</v>
      </c>
      <c r="E5" t="s">
        <v>198</v>
      </c>
    </row>
    <row r="6" spans="1:5">
      <c r="A6" t="s">
        <v>159</v>
      </c>
      <c r="B6" t="s">
        <v>199</v>
      </c>
      <c r="C6" t="s">
        <v>200</v>
      </c>
      <c r="D6" t="s">
        <v>201</v>
      </c>
      <c r="E6" t="s">
        <v>202</v>
      </c>
    </row>
    <row r="7" spans="1:5">
      <c r="A7" t="s">
        <v>160</v>
      </c>
      <c r="B7" t="s">
        <v>203</v>
      </c>
      <c r="C7" t="s">
        <v>204</v>
      </c>
      <c r="D7" t="s">
        <v>205</v>
      </c>
      <c r="E7" t="s">
        <v>206</v>
      </c>
    </row>
    <row r="8" spans="1:5">
      <c r="A8" t="s">
        <v>161</v>
      </c>
      <c r="B8" t="s">
        <v>207</v>
      </c>
      <c r="C8" t="s">
        <v>208</v>
      </c>
      <c r="D8" t="s">
        <v>209</v>
      </c>
      <c r="E8" t="s">
        <v>210</v>
      </c>
    </row>
    <row r="9" spans="1:5">
      <c r="A9" t="s">
        <v>162</v>
      </c>
      <c r="B9" t="s">
        <v>211</v>
      </c>
      <c r="C9" t="s">
        <v>212</v>
      </c>
      <c r="D9" t="s">
        <v>213</v>
      </c>
      <c r="E9" t="s">
        <v>214</v>
      </c>
    </row>
    <row r="10" spans="1:5">
      <c r="A10" t="s">
        <v>163</v>
      </c>
      <c r="B10" t="s">
        <v>215</v>
      </c>
      <c r="C10" t="s">
        <v>216</v>
      </c>
      <c r="D10" t="s">
        <v>217</v>
      </c>
      <c r="E10" t="s">
        <v>218</v>
      </c>
    </row>
    <row r="11" spans="1:5">
      <c r="A11" t="s">
        <v>164</v>
      </c>
      <c r="B11" t="s">
        <v>219</v>
      </c>
      <c r="C11" t="s">
        <v>220</v>
      </c>
      <c r="D11" t="s">
        <v>221</v>
      </c>
      <c r="E11" t="s">
        <v>222</v>
      </c>
    </row>
    <row r="12" spans="1:5">
      <c r="A12" t="s">
        <v>165</v>
      </c>
      <c r="B12" t="s">
        <v>223</v>
      </c>
      <c r="C12" t="s">
        <v>224</v>
      </c>
      <c r="D12" t="s">
        <v>225</v>
      </c>
      <c r="E12" t="s">
        <v>226</v>
      </c>
    </row>
    <row r="13" spans="1:5">
      <c r="A13" t="s">
        <v>166</v>
      </c>
      <c r="B13" t="s">
        <v>227</v>
      </c>
      <c r="C13" t="s">
        <v>228</v>
      </c>
      <c r="D13" t="s">
        <v>229</v>
      </c>
      <c r="E13" t="s">
        <v>230</v>
      </c>
    </row>
    <row r="14" spans="1:5">
      <c r="A14" t="s">
        <v>167</v>
      </c>
      <c r="B14" t="s">
        <v>231</v>
      </c>
      <c r="C14" t="s">
        <v>232</v>
      </c>
      <c r="D14" t="s">
        <v>233</v>
      </c>
      <c r="E14" t="s">
        <v>234</v>
      </c>
    </row>
    <row r="15" spans="1:5">
      <c r="A15" t="s">
        <v>168</v>
      </c>
      <c r="B15" t="s">
        <v>235</v>
      </c>
      <c r="C15" t="s">
        <v>236</v>
      </c>
      <c r="D15" t="s">
        <v>237</v>
      </c>
      <c r="E15" t="s">
        <v>238</v>
      </c>
    </row>
    <row r="16" spans="1:5">
      <c r="A16" t="s">
        <v>169</v>
      </c>
      <c r="B16" t="s">
        <v>239</v>
      </c>
      <c r="C16" t="s">
        <v>240</v>
      </c>
      <c r="D16" t="s">
        <v>241</v>
      </c>
      <c r="E16" t="s">
        <v>242</v>
      </c>
    </row>
    <row r="17" spans="1:5">
      <c r="A17" t="s">
        <v>170</v>
      </c>
      <c r="B17" t="s">
        <v>243</v>
      </c>
      <c r="C17" t="s">
        <v>244</v>
      </c>
      <c r="D17" t="s">
        <v>245</v>
      </c>
      <c r="E17" t="s">
        <v>246</v>
      </c>
    </row>
    <row r="18" spans="1:5">
      <c r="A18" t="s">
        <v>171</v>
      </c>
      <c r="B18" t="s">
        <v>247</v>
      </c>
      <c r="C18" t="s">
        <v>248</v>
      </c>
      <c r="D18" t="s">
        <v>249</v>
      </c>
      <c r="E18" t="s">
        <v>250</v>
      </c>
    </row>
    <row r="19" spans="1:5">
      <c r="A19" t="s">
        <v>172</v>
      </c>
      <c r="B19" t="s">
        <v>251</v>
      </c>
      <c r="C19" t="s">
        <v>252</v>
      </c>
      <c r="D19" t="s">
        <v>253</v>
      </c>
      <c r="E19" t="s">
        <v>254</v>
      </c>
    </row>
    <row r="20" spans="1:5">
      <c r="A20" t="s">
        <v>173</v>
      </c>
      <c r="B20" t="s">
        <v>255</v>
      </c>
      <c r="C20" t="s">
        <v>256</v>
      </c>
      <c r="D20" t="s">
        <v>257</v>
      </c>
      <c r="E20" t="s">
        <v>258</v>
      </c>
    </row>
    <row r="21" spans="1:5">
      <c r="A21" t="s">
        <v>174</v>
      </c>
      <c r="B21" t="s">
        <v>259</v>
      </c>
      <c r="C21" t="s">
        <v>260</v>
      </c>
      <c r="D21" t="s">
        <v>261</v>
      </c>
      <c r="E21" t="s">
        <v>262</v>
      </c>
    </row>
    <row r="22" spans="1:5">
      <c r="A22" t="s">
        <v>175</v>
      </c>
      <c r="B22" t="s">
        <v>263</v>
      </c>
      <c r="C22" t="s">
        <v>264</v>
      </c>
      <c r="D22" t="s">
        <v>265</v>
      </c>
      <c r="E22" t="s">
        <v>266</v>
      </c>
    </row>
    <row r="23" spans="1:5">
      <c r="A23" t="s">
        <v>176</v>
      </c>
      <c r="B23" t="s">
        <v>267</v>
      </c>
      <c r="C23" t="s">
        <v>268</v>
      </c>
      <c r="D23" t="s">
        <v>269</v>
      </c>
      <c r="E23" t="s">
        <v>270</v>
      </c>
    </row>
    <row r="24" spans="1:5">
      <c r="A24" t="s">
        <v>177</v>
      </c>
      <c r="B24" t="s">
        <v>271</v>
      </c>
      <c r="C24" t="s">
        <v>272</v>
      </c>
      <c r="D24" t="s">
        <v>273</v>
      </c>
      <c r="E24" t="s">
        <v>274</v>
      </c>
    </row>
    <row r="25" spans="1:5">
      <c r="A25" t="s">
        <v>178</v>
      </c>
      <c r="B25" t="s">
        <v>275</v>
      </c>
      <c r="C25" t="s">
        <v>276</v>
      </c>
      <c r="D25" t="s">
        <v>277</v>
      </c>
      <c r="E25" t="s">
        <v>278</v>
      </c>
    </row>
    <row r="26" spans="1:5">
      <c r="A26" t="s">
        <v>179</v>
      </c>
      <c r="B26" t="s">
        <v>279</v>
      </c>
      <c r="C26" t="s">
        <v>280</v>
      </c>
      <c r="D26" t="s">
        <v>281</v>
      </c>
      <c r="E26" t="s">
        <v>282</v>
      </c>
    </row>
    <row r="27" spans="1:5">
      <c r="A27" t="s">
        <v>180</v>
      </c>
      <c r="B27" t="s">
        <v>283</v>
      </c>
      <c r="C27" t="s">
        <v>284</v>
      </c>
      <c r="D27" t="s">
        <v>285</v>
      </c>
      <c r="E27" t="s">
        <v>286</v>
      </c>
    </row>
    <row r="28" spans="1:5">
      <c r="A28" t="s">
        <v>181</v>
      </c>
      <c r="B28" t="s">
        <v>287</v>
      </c>
      <c r="C28" t="s">
        <v>288</v>
      </c>
      <c r="D28" t="s">
        <v>289</v>
      </c>
      <c r="E28" t="s">
        <v>290</v>
      </c>
    </row>
    <row r="29" spans="1:5">
      <c r="A29" t="s">
        <v>182</v>
      </c>
      <c r="B29" t="s">
        <v>291</v>
      </c>
      <c r="C29" t="s">
        <v>292</v>
      </c>
      <c r="D29" t="s">
        <v>293</v>
      </c>
      <c r="E29" t="s">
        <v>294</v>
      </c>
    </row>
  </sheetData>
  <phoneticPr fontId="3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9"/>
  <sheetViews>
    <sheetView workbookViewId="0"/>
  </sheetViews>
  <sheetFormatPr defaultRowHeight="14.5"/>
  <sheetData>
    <row r="1" spans="1:5">
      <c r="A1" s="1" t="s">
        <v>13</v>
      </c>
      <c r="B1" s="1" t="s">
        <v>4</v>
      </c>
      <c r="C1" s="1" t="s">
        <v>5</v>
      </c>
      <c r="D1" s="1" t="s">
        <v>6</v>
      </c>
      <c r="E1" s="1" t="s">
        <v>7</v>
      </c>
    </row>
    <row r="2" spans="1:5">
      <c r="A2" t="s">
        <v>155</v>
      </c>
      <c r="B2">
        <v>106690.9090909091</v>
      </c>
      <c r="C2">
        <v>91834.710743801654</v>
      </c>
      <c r="D2">
        <v>77887.603305785145</v>
      </c>
      <c r="E2">
        <v>95550.413223140495</v>
      </c>
    </row>
    <row r="3" spans="1:5">
      <c r="A3" t="s">
        <v>156</v>
      </c>
      <c r="B3">
        <v>106611.57024793389</v>
      </c>
      <c r="C3">
        <v>92148.760330578531</v>
      </c>
      <c r="D3">
        <v>77976.859504132241</v>
      </c>
      <c r="E3">
        <v>96000</v>
      </c>
    </row>
    <row r="4" spans="1:5">
      <c r="A4" t="s">
        <v>157</v>
      </c>
      <c r="B4">
        <v>106700.826446281</v>
      </c>
      <c r="C4">
        <v>92195.041322314035</v>
      </c>
      <c r="D4">
        <v>78204.958677685965</v>
      </c>
      <c r="E4">
        <v>96102.479338842983</v>
      </c>
    </row>
    <row r="5" spans="1:5">
      <c r="A5" t="s">
        <v>158</v>
      </c>
      <c r="B5">
        <v>107150.41322314049</v>
      </c>
      <c r="C5">
        <v>92039.669421487604</v>
      </c>
      <c r="D5">
        <v>78704.132231404961</v>
      </c>
      <c r="E5">
        <v>96317.355371900834</v>
      </c>
    </row>
    <row r="6" spans="1:5">
      <c r="A6" t="s">
        <v>159</v>
      </c>
      <c r="B6">
        <v>107965.4756938209</v>
      </c>
      <c r="C6">
        <v>93927.963687799769</v>
      </c>
      <c r="D6">
        <v>79204.189035694799</v>
      </c>
      <c r="E6">
        <v>97438.56364013876</v>
      </c>
    </row>
    <row r="7" spans="1:5">
      <c r="A7" t="s">
        <v>160</v>
      </c>
      <c r="B7">
        <v>108483.6784901135</v>
      </c>
      <c r="C7">
        <v>94540.00638815308</v>
      </c>
      <c r="D7">
        <v>79556.460177747387</v>
      </c>
      <c r="E7">
        <v>98233.845761974284</v>
      </c>
    </row>
    <row r="8" spans="1:5">
      <c r="A8" t="s">
        <v>161</v>
      </c>
      <c r="B8">
        <v>108532.2314049587</v>
      </c>
      <c r="C8">
        <v>95338.842975206629</v>
      </c>
      <c r="D8">
        <v>82717.355371900834</v>
      </c>
      <c r="E8">
        <v>98449.586776859505</v>
      </c>
    </row>
    <row r="9" spans="1:5">
      <c r="A9" t="s">
        <v>162</v>
      </c>
      <c r="B9">
        <v>109347.1261197506</v>
      </c>
      <c r="C9">
        <v>96061.323279600809</v>
      </c>
      <c r="D9">
        <v>82221.638002628984</v>
      </c>
      <c r="E9">
        <v>98789.349411067655</v>
      </c>
    </row>
    <row r="10" spans="1:5">
      <c r="A10" t="s">
        <v>163</v>
      </c>
      <c r="B10">
        <v>110087.2318801838</v>
      </c>
      <c r="C10">
        <v>98407.796295351465</v>
      </c>
      <c r="D10">
        <v>82521.628652671061</v>
      </c>
      <c r="E10">
        <v>99896.33594823457</v>
      </c>
    </row>
    <row r="11" spans="1:5">
      <c r="A11" t="s">
        <v>164</v>
      </c>
      <c r="B11">
        <v>110500.320930374</v>
      </c>
      <c r="C11">
        <v>98709.599285064076</v>
      </c>
      <c r="D11">
        <v>83220.458841268555</v>
      </c>
      <c r="E11">
        <v>100425.419086329</v>
      </c>
    </row>
    <row r="12" spans="1:5">
      <c r="A12" t="s">
        <v>165</v>
      </c>
      <c r="B12">
        <v>110655.30562255321</v>
      </c>
      <c r="C12">
        <v>98818.294448109766</v>
      </c>
      <c r="D12">
        <v>84603.810949517399</v>
      </c>
      <c r="E12">
        <v>100885.09267324999</v>
      </c>
    </row>
    <row r="13" spans="1:5">
      <c r="A13" t="s">
        <v>166</v>
      </c>
      <c r="B13">
        <v>110819.76916818161</v>
      </c>
      <c r="C13">
        <v>98883.511545937188</v>
      </c>
      <c r="D13">
        <v>85699.222686831257</v>
      </c>
      <c r="E13">
        <v>101222.85023754431</v>
      </c>
    </row>
    <row r="14" spans="1:5">
      <c r="A14" t="s">
        <v>167</v>
      </c>
      <c r="B14">
        <v>111240.7494166276</v>
      </c>
      <c r="C14">
        <v>99122.640904637679</v>
      </c>
      <c r="D14">
        <v>86362.52803529051</v>
      </c>
      <c r="E14">
        <v>101636.40626743389</v>
      </c>
    </row>
    <row r="15" spans="1:5">
      <c r="A15" t="s">
        <v>168</v>
      </c>
      <c r="B15">
        <v>111819.6218117019</v>
      </c>
      <c r="C15">
        <v>100450.6784067298</v>
      </c>
      <c r="D15">
        <v>87526.27279843908</v>
      </c>
      <c r="E15">
        <v>102597.3973164216</v>
      </c>
    </row>
    <row r="16" spans="1:5">
      <c r="A16" t="s">
        <v>169</v>
      </c>
      <c r="B16">
        <v>112882.64462809919</v>
      </c>
      <c r="C16">
        <v>102036.3636363636</v>
      </c>
      <c r="D16">
        <v>88400</v>
      </c>
      <c r="E16">
        <v>103828.56608421871</v>
      </c>
    </row>
    <row r="17" spans="1:5">
      <c r="A17" t="s">
        <v>170</v>
      </c>
      <c r="B17">
        <v>115064.4628099174</v>
      </c>
      <c r="C17">
        <v>104340.49586776859</v>
      </c>
      <c r="D17">
        <v>89854.545454545456</v>
      </c>
      <c r="E17">
        <v>105857.8512396694</v>
      </c>
    </row>
    <row r="18" spans="1:5">
      <c r="A18" t="s">
        <v>171</v>
      </c>
      <c r="B18">
        <v>117533.88429752069</v>
      </c>
      <c r="C18">
        <v>108419.8347107438</v>
      </c>
      <c r="D18">
        <v>93530.578512396693</v>
      </c>
      <c r="E18">
        <v>109130.57851239671</v>
      </c>
    </row>
    <row r="19" spans="1:5">
      <c r="A19" t="s">
        <v>172</v>
      </c>
      <c r="B19">
        <v>117811.57024793389</v>
      </c>
      <c r="C19">
        <v>111719.0082644628</v>
      </c>
      <c r="D19">
        <v>94204.958677685951</v>
      </c>
      <c r="E19">
        <v>110525.6198347107</v>
      </c>
    </row>
    <row r="20" spans="1:5">
      <c r="A20" t="s">
        <v>173</v>
      </c>
      <c r="B20">
        <v>118829.7520661157</v>
      </c>
      <c r="C20">
        <v>114565.2892561983</v>
      </c>
      <c r="D20">
        <v>96862.809917355378</v>
      </c>
      <c r="E20">
        <v>112426.4462809917</v>
      </c>
    </row>
    <row r="21" spans="1:5">
      <c r="A21" t="s">
        <v>174</v>
      </c>
      <c r="B21">
        <v>121041.3223140496</v>
      </c>
      <c r="C21">
        <v>120366.9421487603</v>
      </c>
      <c r="D21">
        <v>98647.933884297527</v>
      </c>
      <c r="E21">
        <v>115755.3719008264</v>
      </c>
    </row>
    <row r="22" spans="1:5">
      <c r="A22" t="s">
        <v>175</v>
      </c>
      <c r="B22">
        <v>122142.1487603306</v>
      </c>
      <c r="C22">
        <v>120585.1239669421</v>
      </c>
      <c r="D22">
        <v>101461.1570247934</v>
      </c>
      <c r="E22">
        <v>116704.132231405</v>
      </c>
    </row>
    <row r="23" spans="1:5">
      <c r="A23" t="s">
        <v>176</v>
      </c>
      <c r="B23">
        <v>123203.305785124</v>
      </c>
      <c r="C23">
        <v>122330.57851239671</v>
      </c>
      <c r="D23">
        <v>102294.2148760331</v>
      </c>
      <c r="E23">
        <v>117960.3305785124</v>
      </c>
    </row>
    <row r="24" spans="1:5">
      <c r="A24" t="s">
        <v>177</v>
      </c>
      <c r="B24">
        <v>123851.2396694215</v>
      </c>
      <c r="C24">
        <v>127100.826446281</v>
      </c>
      <c r="D24">
        <v>104459.50413223141</v>
      </c>
      <c r="E24">
        <v>120333.88429752069</v>
      </c>
    </row>
    <row r="25" spans="1:5">
      <c r="A25" t="s">
        <v>178</v>
      </c>
      <c r="B25">
        <v>125910.7438016529</v>
      </c>
      <c r="C25">
        <v>128889.2561983471</v>
      </c>
      <c r="D25">
        <v>105537.19008264461</v>
      </c>
      <c r="E25">
        <v>122092.5619834711</v>
      </c>
    </row>
    <row r="26" spans="1:5">
      <c r="A26" t="s">
        <v>179</v>
      </c>
      <c r="B26">
        <v>128251.2396694215</v>
      </c>
      <c r="C26">
        <v>129299.173553719</v>
      </c>
      <c r="D26">
        <v>108535.5371900826</v>
      </c>
      <c r="E26">
        <v>123963.6363636364</v>
      </c>
    </row>
    <row r="27" spans="1:5">
      <c r="A27" t="s">
        <v>180</v>
      </c>
      <c r="B27">
        <v>130601.65289256199</v>
      </c>
      <c r="C27">
        <v>133781.81818181821</v>
      </c>
      <c r="D27">
        <v>108836.3636363636</v>
      </c>
      <c r="E27">
        <v>126578.5123966942</v>
      </c>
    </row>
    <row r="28" spans="1:5">
      <c r="A28" t="s">
        <v>181</v>
      </c>
      <c r="B28">
        <v>131970.2479338843</v>
      </c>
      <c r="C28">
        <v>135054.5454545455</v>
      </c>
      <c r="D28">
        <v>109259.50413223141</v>
      </c>
      <c r="E28">
        <v>127692.5619834711</v>
      </c>
    </row>
    <row r="29" spans="1:5">
      <c r="A29" t="s">
        <v>182</v>
      </c>
      <c r="B29">
        <v>133444.6280991736</v>
      </c>
      <c r="C29">
        <v>136978.51239669419</v>
      </c>
      <c r="D29">
        <v>110548.7603305785</v>
      </c>
      <c r="E29">
        <v>129272.72727272729</v>
      </c>
    </row>
  </sheetData>
  <phoneticPr fontId="3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3"/>
  <sheetViews>
    <sheetView workbookViewId="0">
      <selection activeCell="D2" sqref="D2"/>
    </sheetView>
  </sheetViews>
  <sheetFormatPr defaultRowHeight="14.5"/>
  <cols>
    <col min="2" max="2" width="12.36328125" bestFit="1" customWidth="1"/>
    <col min="3" max="3" width="12.26953125" bestFit="1" customWidth="1"/>
    <col min="4" max="4" width="15.90625" bestFit="1" customWidth="1"/>
    <col min="5" max="5" width="12.36328125" bestFit="1" customWidth="1"/>
  </cols>
  <sheetData>
    <row r="1" spans="1:5">
      <c r="A1" s="1" t="s">
        <v>13</v>
      </c>
      <c r="B1" s="1" t="s">
        <v>4</v>
      </c>
      <c r="C1" s="1" t="s">
        <v>5</v>
      </c>
      <c r="D1" s="1" t="s">
        <v>6</v>
      </c>
      <c r="E1" s="1" t="s">
        <v>7</v>
      </c>
    </row>
    <row r="2" spans="1:5">
      <c r="A2" t="s">
        <v>295</v>
      </c>
      <c r="B2" s="2">
        <f>_xlfn.XLOOKUP($A2,[1]요약!$24:$24,[1]요약!$30:$30)</f>
        <v>47619594.970713951</v>
      </c>
      <c r="C2" s="2">
        <f>_xlfn.XLOOKUP(A2,[1]요약!$24:$24,[1]요약!$43:$43)</f>
        <v>78347603.671044856</v>
      </c>
      <c r="D2" s="2">
        <f>_xlfn.XLOOKUP(A2,[1]요약!$24:$24,[1]요약!$56:$56)</f>
        <v>0</v>
      </c>
      <c r="E2" s="2">
        <f>_xlfn.XLOOKUP(A2,[1]요약!$24:$24,[1]요약!$10:$10)</f>
        <v>62983599.3208794</v>
      </c>
    </row>
    <row r="3" spans="1:5">
      <c r="A3" t="s">
        <v>296</v>
      </c>
      <c r="B3" s="2">
        <f>_xlfn.XLOOKUP(A3,[1]요약!$24:$24,[1]요약!$30:$30)</f>
        <v>41401134.749473467</v>
      </c>
      <c r="C3" s="2">
        <f>_xlfn.XLOOKUP(A3,[1]요약!$24:$24,[1]요약!$43:$43)</f>
        <v>33888398.056978181</v>
      </c>
      <c r="D3" s="2">
        <f>_xlfn.XLOOKUP(A3,[1]요약!$24:$24,[1]요약!$56:$56)</f>
        <v>21768103.983993728</v>
      </c>
      <c r="E3" s="2">
        <f>_xlfn.XLOOKUP(A3,[1]요약!$24:$24,[1]요약!$10:$10)</f>
        <v>32352545.596815124</v>
      </c>
    </row>
    <row r="4" spans="1:5">
      <c r="A4" t="s">
        <v>297</v>
      </c>
      <c r="B4" s="2">
        <f>_xlfn.XLOOKUP(A4,[1]요약!$24:$24,[1]요약!$30:$30)</f>
        <v>26211819.017760627</v>
      </c>
      <c r="C4" s="2">
        <f>_xlfn.XLOOKUP(A4,[1]요약!$24:$24,[1]요약!$43:$43)</f>
        <v>27693165.353815027</v>
      </c>
      <c r="D4" s="2">
        <f>_xlfn.XLOOKUP(A4,[1]요약!$24:$24,[1]요약!$56:$56)</f>
        <v>14836897.057203002</v>
      </c>
      <c r="E4" s="2">
        <f>_xlfn.XLOOKUP(A4,[1]요약!$24:$24,[1]요약!$10:$10)</f>
        <v>22913960.476259548</v>
      </c>
    </row>
    <row r="5" spans="1:5">
      <c r="A5" t="s">
        <v>298</v>
      </c>
      <c r="B5" s="2">
        <f>_xlfn.XLOOKUP(A5,[1]요약!$24:$24,[1]요약!$30:$30)</f>
        <v>28458667.204730846</v>
      </c>
      <c r="C5" s="2">
        <f>_xlfn.XLOOKUP(A5,[1]요약!$24:$24,[1]요약!$43:$43)</f>
        <v>36051467.649442874</v>
      </c>
      <c r="D5" s="2">
        <f>_xlfn.XLOOKUP(A5,[1]요약!$24:$24,[1]요약!$56:$56)</f>
        <v>0</v>
      </c>
      <c r="E5" s="2">
        <f>_xlfn.XLOOKUP(A5,[1]요약!$24:$24,[1]요약!$10:$10)</f>
        <v>32255067.42708686</v>
      </c>
    </row>
    <row r="6" spans="1:5">
      <c r="A6" t="s">
        <v>299</v>
      </c>
      <c r="B6" s="2">
        <f>_xlfn.XLOOKUP(A6,[1]요약!$24:$24,[1]요약!$30:$30)</f>
        <v>32102989.895063415</v>
      </c>
      <c r="C6" s="2">
        <f>_xlfn.XLOOKUP(A6,[1]요약!$24:$24,[1]요약!$43:$43)</f>
        <v>34221789.614896618</v>
      </c>
      <c r="D6" s="2">
        <f>_xlfn.XLOOKUP(A6,[1]요약!$24:$24,[1]요약!$56:$56)</f>
        <v>0</v>
      </c>
      <c r="E6" s="2">
        <f>_xlfn.XLOOKUP(A6,[1]요약!$24:$24,[1]요약!$10:$10)</f>
        <v>33162389.754980016</v>
      </c>
    </row>
    <row r="7" spans="1:5">
      <c r="A7" t="s">
        <v>300</v>
      </c>
      <c r="B7" s="2">
        <f>_xlfn.XLOOKUP(A7,[1]요약!$24:$24,[1]요약!$30:$30)</f>
        <v>24514581.328088172</v>
      </c>
      <c r="C7" s="2">
        <f>_xlfn.XLOOKUP(A7,[1]요약!$24:$24,[1]요약!$43:$43)</f>
        <v>29609338.810978383</v>
      </c>
      <c r="D7" s="2">
        <f>_xlfn.XLOOKUP(A7,[1]요약!$24:$24,[1]요약!$56:$56)</f>
        <v>0</v>
      </c>
      <c r="E7" s="2">
        <f>_xlfn.XLOOKUP(A7,[1]요약!$24:$24,[1]요약!$10:$10)</f>
        <v>27061960.069533277</v>
      </c>
    </row>
    <row r="8" spans="1:5">
      <c r="A8" t="s">
        <v>301</v>
      </c>
      <c r="B8" s="2">
        <f>_xlfn.XLOOKUP(A8,[1]요약!$24:$24,[1]요약!$30:$30)</f>
        <v>34382613.265407778</v>
      </c>
      <c r="C8" s="2">
        <f>_xlfn.XLOOKUP(A8,[1]요약!$24:$24,[1]요약!$43:$43)</f>
        <v>40498679.823164314</v>
      </c>
      <c r="D8" s="2">
        <f>_xlfn.XLOOKUP(A8,[1]요약!$24:$24,[1]요약!$56:$56)</f>
        <v>25089893.758919813</v>
      </c>
      <c r="E8" s="2">
        <f>_xlfn.XLOOKUP(A8,[1]요약!$24:$24,[1]요약!$10:$10)</f>
        <v>33323728.949163962</v>
      </c>
    </row>
    <row r="9" spans="1:5">
      <c r="A9" t="s">
        <v>302</v>
      </c>
      <c r="B9" s="2">
        <f>_xlfn.XLOOKUP(A9,[1]요약!$24:$24,[1]요약!$30:$30)</f>
        <v>30147563.008810908</v>
      </c>
      <c r="C9" s="2">
        <f>_xlfn.XLOOKUP(A9,[1]요약!$24:$24,[1]요약!$43:$43)</f>
        <v>31631006.246536337</v>
      </c>
      <c r="D9" s="2">
        <f>_xlfn.XLOOKUP(A9,[1]요약!$24:$24,[1]요약!$56:$56)</f>
        <v>22437155.712674912</v>
      </c>
      <c r="E9" s="2">
        <f>_xlfn.XLOOKUP(A9,[1]요약!$24:$24,[1]요약!$10:$10)</f>
        <v>28071908.322674051</v>
      </c>
    </row>
    <row r="10" spans="1:5">
      <c r="A10" t="s">
        <v>0</v>
      </c>
      <c r="B10" s="2">
        <f>_xlfn.XLOOKUP(A10,[1]요약!$24:$24,[1]요약!$30:$30)</f>
        <v>32483777.374871146</v>
      </c>
      <c r="C10" s="2">
        <f>_xlfn.XLOOKUP(A10,[1]요약!$24:$24,[1]요약!$43:$43)</f>
        <v>36606036.652659968</v>
      </c>
      <c r="D10" s="2">
        <f>_xlfn.XLOOKUP(A10,[1]요약!$24:$24,[1]요약!$56:$56)</f>
        <v>24790448.870232113</v>
      </c>
      <c r="E10" s="2">
        <f>_xlfn.XLOOKUP(A10,[1]요약!$24:$24,[1]요약!$10:$10)</f>
        <v>31293420.965921074</v>
      </c>
    </row>
    <row r="11" spans="1:5">
      <c r="A11" t="s">
        <v>1</v>
      </c>
      <c r="B11" s="2">
        <f>_xlfn.XLOOKUP(A11,[1]요약!$24:$24,[1]요약!$30:$30)</f>
        <v>30524672.660534874</v>
      </c>
      <c r="C11" s="2">
        <f>_xlfn.XLOOKUP(A11,[1]요약!$24:$24,[1]요약!$43:$43)</f>
        <v>39328779.856170014</v>
      </c>
      <c r="D11" s="2">
        <f>_xlfn.XLOOKUP(A11,[1]요약!$24:$24,[1]요약!$56:$56)</f>
        <v>0</v>
      </c>
      <c r="E11" s="2">
        <f>_xlfn.XLOOKUP(A11,[1]요약!$24:$24,[1]요약!$10:$10)</f>
        <v>34926726.258352444</v>
      </c>
    </row>
    <row r="12" spans="1:5">
      <c r="A12" t="s">
        <v>2</v>
      </c>
      <c r="B12" s="2">
        <f>_xlfn.XLOOKUP(A12,[1]요약!$24:$24,[1]요약!$30:$30)</f>
        <v>33705182.252448544</v>
      </c>
      <c r="C12" s="2">
        <f>_xlfn.XLOOKUP(A12,[1]요약!$24:$24,[1]요약!$43:$43)</f>
        <v>38240402.519320235</v>
      </c>
      <c r="D12" s="2">
        <f>_xlfn.XLOOKUP(A12,[1]요약!$24:$24,[1]요약!$56:$56)</f>
        <v>0</v>
      </c>
      <c r="E12" s="2">
        <f>_xlfn.XLOOKUP(A12,[1]요약!$24:$24,[1]요약!$10:$10)</f>
        <v>35972792.385884389</v>
      </c>
    </row>
    <row r="13" spans="1:5">
      <c r="A13" t="s">
        <v>3</v>
      </c>
      <c r="B13" s="2">
        <f>_xlfn.XLOOKUP(A13,[1]요약!$24:$24,[1]요약!$30:$30)</f>
        <v>34085857.351541638</v>
      </c>
      <c r="C13" s="2">
        <f>_xlfn.XLOOKUP(A13,[1]요약!$24:$24,[1]요약!$43:$43)</f>
        <v>48293143.669812448</v>
      </c>
      <c r="D13" s="2">
        <f>_xlfn.XLOOKUP(A13,[1]요약!$24:$24,[1]요약!$56:$56)</f>
        <v>22021543.431254983</v>
      </c>
      <c r="E13" s="2">
        <f>_xlfn.XLOOKUP(A13,[1]요약!$24:$24,[1]요약!$10:$10)</f>
        <v>34800181.484203018</v>
      </c>
    </row>
  </sheetData>
  <phoneticPr fontId="3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3"/>
  <sheetViews>
    <sheetView workbookViewId="0">
      <selection activeCell="A2" sqref="A2"/>
    </sheetView>
  </sheetViews>
  <sheetFormatPr defaultRowHeight="14.5"/>
  <sheetData>
    <row r="1" spans="1:5">
      <c r="A1" s="1" t="s">
        <v>13</v>
      </c>
      <c r="B1" s="1" t="s">
        <v>4</v>
      </c>
      <c r="C1" s="1" t="s">
        <v>5</v>
      </c>
      <c r="D1" s="1" t="s">
        <v>6</v>
      </c>
      <c r="E1" s="1" t="s">
        <v>7</v>
      </c>
    </row>
    <row r="2" spans="1:5">
      <c r="A2" t="s">
        <v>295</v>
      </c>
      <c r="B2" s="7">
        <f>_xlfn.XLOOKUP($A2,[1]요약!$24:$24,[1]요약!$33:$33)</f>
        <v>0</v>
      </c>
      <c r="C2" s="7">
        <f>_xlfn.XLOOKUP($A2,[1]요약!$24:$24,[1]요약!$46:$46)</f>
        <v>0</v>
      </c>
      <c r="D2" s="7">
        <f>_xlfn.XLOOKUP(A2,[1]요약!$24:$24,[1]요약!$59:$59)</f>
        <v>0</v>
      </c>
      <c r="E2" s="7">
        <f>_xlfn.XLOOKUP(A2,[1]요약!$24:$24,[1]요약!$13:$13)</f>
        <v>4.3197566651193314E-2</v>
      </c>
    </row>
    <row r="3" spans="1:5">
      <c r="A3" t="s">
        <v>296</v>
      </c>
      <c r="B3" s="7">
        <f>_xlfn.XLOOKUP($A3,[1]요약!$24:$24,[1]요약!$33:$33)</f>
        <v>4.1095077713919008E-2</v>
      </c>
      <c r="C3" s="7">
        <f>_xlfn.XLOOKUP($A3,[1]요약!$24:$24,[1]요약!$46:$46)</f>
        <v>4.5300055588467614E-2</v>
      </c>
      <c r="D3" s="7">
        <f>_xlfn.XLOOKUP(A3,[1]요약!$24:$24,[1]요약!$59:$59)</f>
        <v>0</v>
      </c>
      <c r="E3" s="7">
        <f>_xlfn.XLOOKUP(A3,[1]요약!$24:$24,[1]요약!$13:$13)</f>
        <v>4.3197566651193314E-2</v>
      </c>
    </row>
    <row r="4" spans="1:5">
      <c r="A4" t="s">
        <v>297</v>
      </c>
      <c r="B4" s="7">
        <f>_xlfn.XLOOKUP($A4,[1]요약!$24:$24,[1]요약!$33:$33)</f>
        <v>4.0782953539823009E-2</v>
      </c>
      <c r="C4" s="7">
        <f>_xlfn.XLOOKUP($A4,[1]요약!$24:$24,[1]요약!$46:$46)</f>
        <v>4.7500000000000001E-2</v>
      </c>
      <c r="D4" s="7">
        <f>_xlfn.XLOOKUP(A4,[1]요약!$24:$24,[1]요약!$59:$59)</f>
        <v>2.7186656855531028E-2</v>
      </c>
      <c r="E4" s="7">
        <f>_xlfn.XLOOKUP(A4,[1]요약!$24:$24,[1]요약!$13:$13)</f>
        <v>3.8489870131784683E-2</v>
      </c>
    </row>
    <row r="5" spans="1:5">
      <c r="A5" t="s">
        <v>298</v>
      </c>
      <c r="B5" s="7">
        <f>_xlfn.XLOOKUP($A5,[1]요약!$24:$24,[1]요약!$33:$33)</f>
        <v>6.2540540540540535E-2</v>
      </c>
      <c r="C5" s="7">
        <f>_xlfn.XLOOKUP($A5,[1]요약!$24:$24,[1]요약!$46:$46)</f>
        <v>4.132619298088077E-2</v>
      </c>
      <c r="D5" s="7">
        <f>_xlfn.XLOOKUP(A5,[1]요약!$24:$24,[1]요약!$59:$59)</f>
        <v>0</v>
      </c>
      <c r="E5" s="7">
        <f>_xlfn.XLOOKUP(A5,[1]요약!$24:$24,[1]요약!$13:$13)</f>
        <v>5.1933366760710656E-2</v>
      </c>
    </row>
    <row r="6" spans="1:5">
      <c r="A6" t="s">
        <v>299</v>
      </c>
      <c r="B6" s="7">
        <f>_xlfn.XLOOKUP($A6,[1]요약!$24:$24,[1]요약!$33:$33)</f>
        <v>0.04</v>
      </c>
      <c r="C6" s="7">
        <f>_xlfn.XLOOKUP($A6,[1]요약!$24:$24,[1]요약!$46:$46)</f>
        <v>4.2000000000000003E-2</v>
      </c>
      <c r="D6" s="7">
        <f>_xlfn.XLOOKUP(A6,[1]요약!$24:$24,[1]요약!$59:$59)</f>
        <v>0</v>
      </c>
      <c r="E6" s="7">
        <f>_xlfn.XLOOKUP(A6,[1]요약!$24:$24,[1]요약!$13:$13)</f>
        <v>4.1000000000000002E-2</v>
      </c>
    </row>
    <row r="7" spans="1:5">
      <c r="A7" t="s">
        <v>300</v>
      </c>
      <c r="B7" s="7">
        <f>_xlfn.XLOOKUP($A7,[1]요약!$24:$24,[1]요약!$33:$33)</f>
        <v>5.6000000000000001E-2</v>
      </c>
      <c r="C7" s="7">
        <f>_xlfn.XLOOKUP($A7,[1]요약!$24:$24,[1]요약!$46:$46)</f>
        <v>3.5000000000000003E-2</v>
      </c>
      <c r="D7" s="7">
        <f>_xlfn.XLOOKUP(A7,[1]요약!$24:$24,[1]요약!$59:$59)</f>
        <v>0</v>
      </c>
      <c r="E7" s="7">
        <f>_xlfn.XLOOKUP(A7,[1]요약!$24:$24,[1]요약!$13:$13)</f>
        <v>4.5499999999999999E-2</v>
      </c>
    </row>
    <row r="8" spans="1:5">
      <c r="A8" t="s">
        <v>301</v>
      </c>
      <c r="B8" s="7">
        <f>_xlfn.XLOOKUP($A8,[1]요약!$24:$24,[1]요약!$33:$33)</f>
        <v>4.2750000000000003E-2</v>
      </c>
      <c r="C8" s="7">
        <f>_xlfn.XLOOKUP($A8,[1]요약!$24:$24,[1]요약!$46:$46)</f>
        <v>2.7882534360225732E-2</v>
      </c>
      <c r="D8" s="7">
        <f>_xlfn.XLOOKUP(A8,[1]요약!$24:$24,[1]요약!$59:$59)</f>
        <v>4.7E-2</v>
      </c>
      <c r="E8" s="7">
        <f>_xlfn.XLOOKUP(A8,[1]요약!$24:$24,[1]요약!$13:$13)</f>
        <v>3.9210844786741909E-2</v>
      </c>
    </row>
    <row r="9" spans="1:5">
      <c r="A9" t="s">
        <v>302</v>
      </c>
      <c r="B9" s="7">
        <f>_xlfn.XLOOKUP($A9,[1]요약!$24:$24,[1]요약!$33:$33)</f>
        <v>4.4333333333333336E-2</v>
      </c>
      <c r="C9" s="7">
        <f>_xlfn.XLOOKUP($A9,[1]요약!$24:$24,[1]요약!$46:$46)</f>
        <v>3.0890024467369364E-2</v>
      </c>
      <c r="D9" s="7">
        <f>_xlfn.XLOOKUP(A9,[1]요약!$24:$24,[1]요약!$59:$59)</f>
        <v>4.1000000000000002E-2</v>
      </c>
      <c r="E9" s="7">
        <f>_xlfn.XLOOKUP(A9,[1]요약!$24:$24,[1]요약!$13:$13)</f>
        <v>3.8741119266900902E-2</v>
      </c>
    </row>
    <row r="10" spans="1:5">
      <c r="A10" t="s">
        <v>0</v>
      </c>
      <c r="B10" s="7">
        <f>_xlfn.XLOOKUP($A10,[1]요약!$24:$24,[1]요약!$33:$33)</f>
        <v>3.9600000000000003E-2</v>
      </c>
      <c r="C10" s="7">
        <f>_xlfn.XLOOKUP($A10,[1]요약!$24:$24,[1]요약!$46:$46)</f>
        <v>4.1500000000000002E-2</v>
      </c>
      <c r="D10" s="7">
        <f>_xlfn.XLOOKUP(A10,[1]요약!$24:$24,[1]요약!$59:$59)</f>
        <v>4.2000000000000003E-2</v>
      </c>
      <c r="E10" s="7">
        <f>_xlfn.XLOOKUP(A10,[1]요약!$24:$24,[1]요약!$13:$13)</f>
        <v>4.1033333333333338E-2</v>
      </c>
    </row>
    <row r="11" spans="1:5">
      <c r="A11" t="s">
        <v>1</v>
      </c>
      <c r="B11" s="7">
        <f>_xlfn.XLOOKUP($A11,[1]요약!$24:$24,[1]요약!$33:$33)</f>
        <v>4.0333333333333332E-2</v>
      </c>
      <c r="C11" s="7">
        <f>_xlfn.XLOOKUP($A11,[1]요약!$24:$24,[1]요약!$46:$46)</f>
        <v>3.5250000000000004E-2</v>
      </c>
      <c r="D11" s="7">
        <f>_xlfn.XLOOKUP(A11,[1]요약!$24:$24,[1]요약!$59:$59)</f>
        <v>0</v>
      </c>
      <c r="E11" s="7">
        <f>_xlfn.XLOOKUP(A11,[1]요약!$24:$24,[1]요약!$13:$13)</f>
        <v>3.7791666666666668E-2</v>
      </c>
    </row>
    <row r="12" spans="1:5">
      <c r="A12" t="s">
        <v>2</v>
      </c>
      <c r="B12" s="7">
        <f>_xlfn.XLOOKUP($A12,[1]요약!$24:$24,[1]요약!$33:$33)</f>
        <v>3.95E-2</v>
      </c>
      <c r="C12" s="7">
        <f>_xlfn.XLOOKUP($A12,[1]요약!$24:$24,[1]요약!$46:$46)</f>
        <v>3.2000000000000001E-2</v>
      </c>
      <c r="D12" s="7">
        <f>_xlfn.XLOOKUP(A12,[1]요약!$24:$24,[1]요약!$59:$59)</f>
        <v>0</v>
      </c>
      <c r="E12" s="7">
        <f>_xlfn.XLOOKUP(A12,[1]요약!$24:$24,[1]요약!$13:$13)</f>
        <v>3.5750000000000004E-2</v>
      </c>
    </row>
    <row r="13" spans="1:5">
      <c r="A13" t="s">
        <v>3</v>
      </c>
      <c r="B13" s="7">
        <f>_xlfn.XLOOKUP($A13,[1]요약!$24:$24,[1]요약!$33:$33)</f>
        <v>4.1999999999999996E-2</v>
      </c>
      <c r="C13" s="7">
        <f>_xlfn.XLOOKUP($A13,[1]요약!$24:$24,[1]요약!$46:$46)</f>
        <v>3.9E-2</v>
      </c>
      <c r="D13" s="7">
        <f>_xlfn.XLOOKUP(A13,[1]요약!$24:$24,[1]요약!$59:$59)</f>
        <v>5.4436923357863438E-2</v>
      </c>
      <c r="E13" s="7">
        <f>_xlfn.XLOOKUP(A13,[1]요약!$24:$24,[1]요약!$13:$13)</f>
        <v>4.5145641119287809E-2</v>
      </c>
    </row>
  </sheetData>
  <phoneticPr fontId="3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08"/>
  <sheetViews>
    <sheetView tabSelected="1" workbookViewId="0">
      <selection activeCell="H4" sqref="H4"/>
    </sheetView>
  </sheetViews>
  <sheetFormatPr defaultRowHeight="14.5"/>
  <cols>
    <col min="3" max="3" width="40.08984375" bestFit="1" customWidth="1"/>
    <col min="4" max="4" width="8.36328125" bestFit="1" customWidth="1"/>
    <col min="5" max="5" width="9.08984375" bestFit="1" customWidth="1"/>
    <col min="6" max="6" width="15.453125" bestFit="1" customWidth="1"/>
    <col min="7" max="7" width="18.36328125" style="2" bestFit="1" customWidth="1"/>
    <col min="8" max="8" width="16.26953125" bestFit="1" customWidth="1"/>
    <col min="9" max="9" width="19.453125" bestFit="1" customWidth="1"/>
  </cols>
  <sheetData>
    <row r="1" spans="1:10">
      <c r="A1" s="1" t="s">
        <v>13</v>
      </c>
      <c r="B1" s="1" t="s">
        <v>303</v>
      </c>
      <c r="C1" s="1" t="s">
        <v>304</v>
      </c>
      <c r="D1" s="1" t="s">
        <v>305</v>
      </c>
      <c r="E1" s="1" t="s">
        <v>306</v>
      </c>
      <c r="F1" s="1" t="s">
        <v>307</v>
      </c>
      <c r="G1" s="5" t="s">
        <v>308</v>
      </c>
      <c r="H1" s="1" t="s">
        <v>309</v>
      </c>
      <c r="I1" s="4" t="s">
        <v>324</v>
      </c>
      <c r="J1" s="4" t="s">
        <v>323</v>
      </c>
    </row>
    <row r="2" spans="1:10">
      <c r="A2" t="str" cm="1">
        <f t="array" ref="A2:A108">TRANSPOSE(_xlfn._xlws.FILTER('[1]1.1 오피스 거래 사례 (Grade A)'!$5:$5,(1='[1]1.1 오피스 거래 사례 (Grade A)'!$89:$89)))</f>
        <v>4Q 2022</v>
      </c>
      <c r="B2" t="str" cm="1">
        <f t="array" ref="B2:B108">TRANSPOSE(_xlfn._xlws.FILTER('[1]1.1 오피스 거래 사례 (Grade A)'!$2:$2,(1='[1]1.1 오피스 거래 사례 (Grade A)'!$89:$89)))</f>
        <v>GBD</v>
      </c>
      <c r="C2" t="str" cm="1">
        <f t="array" ref="C2:C108">TRANSPOSE(_xlfn._xlws.FILTER('[1]1.1 오피스 거래 사례 (Grade A)'!$10:$10,(1='[1]1.1 오피스 거래 사례 (Grade A)'!$89:$89)))</f>
        <v>오토웨이 빌딩</v>
      </c>
      <c r="D2" cm="1">
        <f t="array" ref="D2:D108">TRANSPOSE(_xlfn._xlws.FILTER('[1]1.1 오피스 거래 사례 (Grade A)'!$6:$6,(1='[1]1.1 오피스 거래 사례 (Grade A)'!$89:$89)))</f>
        <v>37.5061904426748</v>
      </c>
      <c r="E2" cm="1">
        <f t="array" ref="E2:E108">TRANSPOSE(_xlfn._xlws.FILTER('[1]1.1 오피스 거래 사례 (Grade A)'!$7:$7,(1='[1]1.1 오피스 거래 사례 (Grade A)'!$89:$89)))</f>
        <v>127.063717235635</v>
      </c>
      <c r="F2" cm="1">
        <f t="array" ref="F2:F108">TRANSPOSE(_xlfn._xlws.FILTER('[1]1.1 오피스 거래 사례 (Grade A)'!$35:$35,(1='[1]1.1 오피스 거래 사례 (Grade A)'!$89:$89)))</f>
        <v>47721.19</v>
      </c>
      <c r="G2" s="6" cm="1">
        <f t="array" ref="G2:G108">TRANSPOSE(_xlfn._xlws.FILTER('[1]1.1 오피스 거래 사례 (Grade A)'!$37:$37,(1='[1]1.1 오피스 거래 사례 (Grade A)'!$89:$89)))</f>
        <v>595000000000</v>
      </c>
      <c r="H2" cm="1">
        <f t="array" ref="H2:H108">TRANSPOSE(_xlfn._xlws.FILTER('[1]1.1 오피스 거래 사례 (Grade A)'!$40:$40,(1='[1]1.1 오피스 거래 사례 (Grade A)'!$89:$89)))</f>
        <v>12468255.716171369</v>
      </c>
      <c r="I2" cm="1">
        <f t="array" ref="I2:I108">TRANSPOSE(_xlfn._xlws.FILTER('[1]1.1 오피스 거래 사례 (Grade A)'!$41:$41,(1='[1]1.1 오피스 거래 사례 (Grade A)'!$89:$89)))</f>
        <v>41217374.268335104</v>
      </c>
      <c r="J2" s="7" cm="1">
        <f t="array" ref="J2:J108">TRANSPOSE(_xlfn._xlws.FILTER('[1]1.1 오피스 거래 사례 (Grade A)'!$48:$48,(1='[1]1.1 오피스 거래 사례 (Grade A)'!$89:$89)))</f>
        <v>2.9000000000000001E-2</v>
      </c>
    </row>
    <row r="3" spans="1:10">
      <c r="A3" t="str">
        <v>1Q 2023</v>
      </c>
      <c r="B3" t="str">
        <v>CBD</v>
      </c>
      <c r="C3" t="str">
        <v>서소문 J&amp;M 빌딩 (중앙빌딩)</v>
      </c>
      <c r="D3">
        <v>37.562314299999997</v>
      </c>
      <c r="E3">
        <v>126.9726146</v>
      </c>
      <c r="F3">
        <v>20132</v>
      </c>
      <c r="G3" s="6">
        <v>290000000000</v>
      </c>
      <c r="H3">
        <v>14404927.47864097</v>
      </c>
      <c r="I3">
        <v>47619594.970713951</v>
      </c>
      <c r="J3" s="7">
        <v>0</v>
      </c>
    </row>
    <row r="4" spans="1:10">
      <c r="A4" t="str">
        <v>1Q 2023</v>
      </c>
      <c r="B4" t="str">
        <v>GBD</v>
      </c>
      <c r="C4" t="str">
        <v>삼성 대세 빌딩</v>
      </c>
      <c r="D4">
        <v>37.507964200782901</v>
      </c>
      <c r="E4">
        <v>127.061603856099</v>
      </c>
      <c r="F4">
        <v>4642</v>
      </c>
      <c r="G4" s="6">
        <v>163000000000</v>
      </c>
      <c r="H4">
        <v>35114174.924601465</v>
      </c>
      <c r="I4">
        <v>116079917.10612056</v>
      </c>
      <c r="J4" s="7">
        <v>0</v>
      </c>
    </row>
    <row r="5" spans="1:10">
      <c r="A5" t="str">
        <v>1Q 2023</v>
      </c>
      <c r="B5" t="str">
        <v>GBD</v>
      </c>
      <c r="C5" t="str">
        <v>청담동 세신 빌딩</v>
      </c>
      <c r="D5">
        <v>37.5252591</v>
      </c>
      <c r="E5">
        <v>127.05298670000001</v>
      </c>
      <c r="F5">
        <v>13576.29</v>
      </c>
      <c r="G5" s="6">
        <v>166800000000</v>
      </c>
      <c r="H5">
        <v>12286125.296380674</v>
      </c>
      <c r="I5">
        <v>40615290.235969171</v>
      </c>
      <c r="J5" s="7">
        <v>0</v>
      </c>
    </row>
    <row r="6" spans="1:10">
      <c r="A6" t="str">
        <v>2Q 2023</v>
      </c>
      <c r="B6" t="str">
        <v>GBD</v>
      </c>
      <c r="C6" t="str">
        <v>Scale Tower (Tiger 318)</v>
      </c>
      <c r="D6">
        <v>37.494219000000001</v>
      </c>
      <c r="E6">
        <v>127.0303536</v>
      </c>
      <c r="F6">
        <v>24699.45</v>
      </c>
      <c r="G6" s="6">
        <v>506400000000</v>
      </c>
      <c r="H6">
        <v>10251240.412235899</v>
      </c>
      <c r="I6">
        <v>33888398.056978181</v>
      </c>
      <c r="J6" s="7">
        <v>4.5300055588467614E-2</v>
      </c>
    </row>
    <row r="7" spans="1:10">
      <c r="A7" t="str">
        <v>2Q 2023</v>
      </c>
      <c r="B7" t="str">
        <v>CBD</v>
      </c>
      <c r="C7" t="str">
        <v>Concordian Building</v>
      </c>
      <c r="D7">
        <v>37.569733399999997</v>
      </c>
      <c r="E7">
        <v>126.9731527</v>
      </c>
      <c r="F7">
        <v>60695.5</v>
      </c>
      <c r="G7" s="6">
        <v>629176000000</v>
      </c>
      <c r="H7">
        <v>10366106.218747683</v>
      </c>
      <c r="I7">
        <v>34268119.731397301</v>
      </c>
      <c r="J7" s="7">
        <v>3.5000000000000003E-2</v>
      </c>
    </row>
    <row r="8" spans="1:10">
      <c r="A8" t="str">
        <v>2Q 2023</v>
      </c>
      <c r="B8" t="str">
        <v>CBD</v>
      </c>
      <c r="C8" t="str">
        <v>Seosomun Donghwa Building</v>
      </c>
      <c r="D8">
        <v>37.562192000000003</v>
      </c>
      <c r="E8">
        <v>126.9732468</v>
      </c>
      <c r="F8">
        <v>9138.94</v>
      </c>
      <c r="G8" s="6">
        <v>263200000000</v>
      </c>
      <c r="H8">
        <v>28799838.930991996</v>
      </c>
      <c r="I8">
        <v>95206079.110717341</v>
      </c>
      <c r="J8" s="7">
        <v>0</v>
      </c>
    </row>
    <row r="9" spans="1:10">
      <c r="A9" t="str">
        <v>2Q 2023</v>
      </c>
      <c r="B9" t="str">
        <v>CBD</v>
      </c>
      <c r="C9" t="str">
        <v>Namsan Green Building</v>
      </c>
      <c r="D9">
        <v>37.556370100000002</v>
      </c>
      <c r="E9">
        <v>126.9760605</v>
      </c>
      <c r="F9">
        <v>57574.54</v>
      </c>
      <c r="G9" s="6">
        <v>475950000000</v>
      </c>
      <c r="H9">
        <v>8266674.8184180018</v>
      </c>
      <c r="I9">
        <v>27327850.639398351</v>
      </c>
      <c r="J9" s="7">
        <v>3.438031085567602E-2</v>
      </c>
    </row>
    <row r="10" spans="1:10">
      <c r="A10" t="str">
        <v>2Q 2023</v>
      </c>
      <c r="B10" t="str">
        <v>CBD</v>
      </c>
      <c r="C10" t="str">
        <v>BOK Sogong Ancilliary Building</v>
      </c>
      <c r="D10">
        <v>37.562420500000002</v>
      </c>
      <c r="E10">
        <v>126.9811765</v>
      </c>
      <c r="F10">
        <v>15665.59</v>
      </c>
      <c r="G10" s="6">
        <v>140949795115</v>
      </c>
      <c r="H10">
        <v>8997413.7657758184</v>
      </c>
      <c r="I10">
        <v>29743516.581077084</v>
      </c>
      <c r="J10" s="7">
        <v>4.4999999999999998E-2</v>
      </c>
    </row>
    <row r="11" spans="1:10">
      <c r="A11" t="str">
        <v>2Q 2023</v>
      </c>
      <c r="B11" t="str">
        <v>CBD</v>
      </c>
      <c r="C11" t="str">
        <v>Asterium Yongsan</v>
      </c>
      <c r="D11">
        <v>37.527624099999997</v>
      </c>
      <c r="E11">
        <v>126.9688561</v>
      </c>
      <c r="F11">
        <v>10130.578512396694</v>
      </c>
      <c r="G11" s="6">
        <v>62700000000</v>
      </c>
      <c r="H11">
        <v>6189182.57464513</v>
      </c>
      <c r="I11">
        <v>20460107.68477729</v>
      </c>
      <c r="J11" s="7">
        <v>0.05</v>
      </c>
    </row>
    <row r="12" spans="1:10">
      <c r="A12" t="str">
        <v>2Q 2023</v>
      </c>
      <c r="B12" t="str">
        <v>YBD</v>
      </c>
      <c r="C12" t="str">
        <v>Hyundai Card Building 1BL</v>
      </c>
      <c r="D12">
        <v>37.5290702</v>
      </c>
      <c r="E12">
        <v>126.9180817</v>
      </c>
      <c r="F12">
        <v>37206.61</v>
      </c>
      <c r="G12" s="6">
        <v>245000000000</v>
      </c>
      <c r="H12">
        <v>6584851.4551581023</v>
      </c>
      <c r="I12">
        <v>21768103.983993728</v>
      </c>
      <c r="J12" s="7">
        <v>0</v>
      </c>
    </row>
    <row r="13" spans="1:10">
      <c r="A13" t="str">
        <v>2Q 2023</v>
      </c>
      <c r="B13" t="str">
        <v>BBD</v>
      </c>
      <c r="C13" t="str">
        <v>Pangyo Alphadom Tower (6-3BL)</v>
      </c>
      <c r="D13">
        <v>37.394220699999998</v>
      </c>
      <c r="E13">
        <v>127.1103504</v>
      </c>
      <c r="F13">
        <v>87901.58</v>
      </c>
      <c r="G13" s="6">
        <v>691350000000</v>
      </c>
      <c r="H13">
        <v>7865046.3393263239</v>
      </c>
      <c r="I13">
        <v>26000153.187855616</v>
      </c>
      <c r="J13" s="7">
        <v>3.9E-2</v>
      </c>
    </row>
    <row r="14" spans="1:10">
      <c r="A14" t="str">
        <v>3Q 2023</v>
      </c>
      <c r="B14" t="str">
        <v>GBD</v>
      </c>
      <c r="C14" t="str">
        <v>Posco Tower Yeoksam</v>
      </c>
      <c r="D14">
        <v>37.4994418</v>
      </c>
      <c r="E14">
        <v>127.033609</v>
      </c>
      <c r="F14">
        <v>21601.384999999998</v>
      </c>
      <c r="G14" s="6">
        <v>152749000000</v>
      </c>
      <c r="H14">
        <v>7071259.5511815567</v>
      </c>
      <c r="I14">
        <v>23376064.632005148</v>
      </c>
      <c r="J14" s="7">
        <v>4.9000000000000002E-2</v>
      </c>
    </row>
    <row r="15" spans="1:10">
      <c r="A15" t="str">
        <v>3Q 2023</v>
      </c>
      <c r="B15" t="str">
        <v>GBD</v>
      </c>
      <c r="C15" t="str">
        <v>Gangnam KG Tower</v>
      </c>
      <c r="D15">
        <v>37.499273299999999</v>
      </c>
      <c r="E15">
        <v>127.0292692</v>
      </c>
      <c r="F15">
        <v>4641.636363636364</v>
      </c>
      <c r="G15" s="6">
        <v>123600000000</v>
      </c>
      <c r="H15">
        <v>9683105.4878765326</v>
      </c>
      <c r="I15">
        <v>32010266.075624902</v>
      </c>
      <c r="J15" s="7">
        <v>4.5999999999999999E-2</v>
      </c>
    </row>
    <row r="16" spans="1:10">
      <c r="A16" t="str">
        <v>3Q 2023</v>
      </c>
      <c r="B16" t="str">
        <v>CBD</v>
      </c>
      <c r="C16" t="str">
        <v>Sambu Building</v>
      </c>
      <c r="D16">
        <v>37.559623500000001</v>
      </c>
      <c r="E16">
        <v>126.9789368</v>
      </c>
      <c r="F16">
        <v>15260.2</v>
      </c>
      <c r="G16" s="6">
        <v>102251000000</v>
      </c>
      <c r="H16">
        <v>6700501.9593452243</v>
      </c>
      <c r="I16">
        <v>22150419.700314794</v>
      </c>
      <c r="J16" s="7">
        <v>0</v>
      </c>
    </row>
    <row r="17" spans="1:10">
      <c r="A17" t="str">
        <v>3Q 2023</v>
      </c>
      <c r="B17" t="str">
        <v>CBD</v>
      </c>
      <c r="C17" t="str">
        <v>HJ Heavy Industry Seoul HQ Building</v>
      </c>
      <c r="D17">
        <v>37.5404877</v>
      </c>
      <c r="E17">
        <v>126.972639</v>
      </c>
      <c r="F17">
        <v>31787.22</v>
      </c>
      <c r="G17" s="6">
        <v>226000000000</v>
      </c>
      <c r="H17">
        <v>7109775.5638901414</v>
      </c>
      <c r="I17">
        <v>23503390.293851707</v>
      </c>
      <c r="J17" s="7">
        <v>4.8131814159292033E-2</v>
      </c>
    </row>
    <row r="18" spans="1:10">
      <c r="A18" t="str">
        <v>3Q 2023</v>
      </c>
      <c r="B18" t="str">
        <v>CBD</v>
      </c>
      <c r="C18" t="str">
        <v>Yongsan The Prime Tower</v>
      </c>
      <c r="D18">
        <v>37.540222900000003</v>
      </c>
      <c r="E18">
        <v>126.9701061</v>
      </c>
      <c r="F18">
        <v>39009.800999999999</v>
      </c>
      <c r="G18" s="6">
        <v>238370000000</v>
      </c>
      <c r="H18">
        <v>6110515.6624613386</v>
      </c>
      <c r="I18">
        <v>20200051.7767317</v>
      </c>
      <c r="J18" s="7">
        <v>3.6999999999999998E-2</v>
      </c>
    </row>
    <row r="19" spans="1:10">
      <c r="A19" t="str">
        <v>3Q 2023</v>
      </c>
      <c r="B19" t="str">
        <v>CBD</v>
      </c>
      <c r="C19" t="str">
        <v>Tower 8</v>
      </c>
      <c r="D19">
        <v>37.570698200000002</v>
      </c>
      <c r="E19">
        <v>126.9805671</v>
      </c>
      <c r="F19">
        <v>48780</v>
      </c>
      <c r="G19" s="6">
        <v>549000000000</v>
      </c>
      <c r="H19">
        <v>11254612.54612546</v>
      </c>
      <c r="I19">
        <v>37205330.730993263</v>
      </c>
      <c r="J19" s="7">
        <v>3.7999999999999999E-2</v>
      </c>
    </row>
    <row r="20" spans="1:10">
      <c r="A20" t="str">
        <v>3Q 2023</v>
      </c>
      <c r="B20" t="str">
        <v>CBD</v>
      </c>
      <c r="C20" t="str">
        <v>Citi Bank Center Korea</v>
      </c>
      <c r="D20">
        <v>37.568892200000001</v>
      </c>
      <c r="E20">
        <v>126.97076300000001</v>
      </c>
      <c r="F20">
        <v>19750.599999999999</v>
      </c>
      <c r="G20" s="6">
        <v>167287000000</v>
      </c>
      <c r="H20">
        <v>8469970.5325407833</v>
      </c>
      <c r="I20">
        <v>27999902.586911682</v>
      </c>
      <c r="J20" s="7">
        <v>0.04</v>
      </c>
    </row>
    <row r="21" spans="1:10">
      <c r="A21" t="str">
        <v>3Q 2023</v>
      </c>
      <c r="B21" t="str">
        <v>YBD</v>
      </c>
      <c r="C21" t="str">
        <v>Lotte Homeshoping Yangpyeong-dong HQ</v>
      </c>
      <c r="D21">
        <v>37.5373819</v>
      </c>
      <c r="E21">
        <v>126.89287179999999</v>
      </c>
      <c r="F21">
        <v>45419.49</v>
      </c>
      <c r="G21" s="6">
        <v>203850000000</v>
      </c>
      <c r="H21">
        <v>4488161.3598039085</v>
      </c>
      <c r="I21">
        <v>14836897.057203002</v>
      </c>
      <c r="J21" s="7">
        <v>2.7186656855531028E-2</v>
      </c>
    </row>
    <row r="22" spans="1:10">
      <c r="A22" t="str">
        <v>3Q 2023</v>
      </c>
      <c r="B22" t="str">
        <v>BBD</v>
      </c>
      <c r="C22" t="str">
        <v>Pangyo Techone Tower (6-2BL)</v>
      </c>
      <c r="D22">
        <v>37.395481400000001</v>
      </c>
      <c r="E22">
        <v>127.11214080000001</v>
      </c>
      <c r="F22">
        <v>88914.299851999996</v>
      </c>
      <c r="G22" s="6">
        <v>350000000000</v>
      </c>
      <c r="H22">
        <v>3936374.6954380055</v>
      </c>
      <c r="I22">
        <v>13012808.910538862</v>
      </c>
      <c r="J22" s="7">
        <v>4.2000000000000003E-2</v>
      </c>
    </row>
    <row r="23" spans="1:10">
      <c r="A23" t="str">
        <v>4Q 2023</v>
      </c>
      <c r="B23" t="str">
        <v>GBD</v>
      </c>
      <c r="C23" t="str">
        <v>Majestar Tower 1</v>
      </c>
      <c r="D23">
        <v>37.490330499999999</v>
      </c>
      <c r="E23">
        <v>127.00577149999999</v>
      </c>
      <c r="F23">
        <v>46580.84</v>
      </c>
      <c r="G23" s="6">
        <v>520000000000</v>
      </c>
      <c r="H23">
        <v>11163388.208542397</v>
      </c>
      <c r="I23">
        <v>36903762.672867432</v>
      </c>
      <c r="J23" s="7">
        <v>4.1778578942642308E-2</v>
      </c>
    </row>
    <row r="24" spans="1:10">
      <c r="A24" t="str">
        <v>4Q 2023</v>
      </c>
      <c r="B24" t="str">
        <v>GBD</v>
      </c>
      <c r="C24" t="str">
        <v>Samsung SDS Tower</v>
      </c>
      <c r="D24">
        <v>37.516327799999999</v>
      </c>
      <c r="E24">
        <v>127.10045529999999</v>
      </c>
      <c r="F24">
        <v>99536.94</v>
      </c>
      <c r="G24" s="6">
        <v>850000000000</v>
      </c>
      <c r="H24">
        <v>8539543.2087825891</v>
      </c>
      <c r="I24">
        <v>28229894.905066408</v>
      </c>
      <c r="J24" s="7">
        <v>4.1200000000000001E-2</v>
      </c>
    </row>
    <row r="25" spans="1:10">
      <c r="A25" t="str">
        <v>4Q 2023</v>
      </c>
      <c r="B25" t="str">
        <v>GBD</v>
      </c>
      <c r="C25" t="str">
        <v>Centerpoint Gangnam</v>
      </c>
      <c r="D25">
        <v>37.498390700000002</v>
      </c>
      <c r="E25">
        <v>127.0309752</v>
      </c>
      <c r="F25">
        <v>27045.94</v>
      </c>
      <c r="G25" s="6">
        <v>351969790658</v>
      </c>
      <c r="H25">
        <v>13013775.474544425</v>
      </c>
      <c r="I25">
        <v>43020745.370394789</v>
      </c>
      <c r="J25" s="7">
        <v>4.1000000000000002E-2</v>
      </c>
    </row>
    <row r="26" spans="1:10">
      <c r="A26" t="str">
        <v>4Q 2023</v>
      </c>
      <c r="B26" t="str">
        <v>CBD</v>
      </c>
      <c r="C26" t="str">
        <v>HSBC Building</v>
      </c>
      <c r="D26">
        <v>37.560076000000002</v>
      </c>
      <c r="E26">
        <v>126.9731038</v>
      </c>
      <c r="F26">
        <v>24812.07</v>
      </c>
      <c r="G26" s="6">
        <v>181000000000</v>
      </c>
      <c r="H26">
        <v>7294836.7467929926</v>
      </c>
      <c r="I26">
        <v>24115162.799315676</v>
      </c>
      <c r="J26" s="7">
        <v>4.3999999999999997E-2</v>
      </c>
    </row>
    <row r="27" spans="1:10">
      <c r="A27" t="str">
        <v>4Q 2023</v>
      </c>
      <c r="B27" t="str">
        <v>CBD</v>
      </c>
      <c r="C27" t="str">
        <v>Gwanghwamun Building</v>
      </c>
      <c r="D27">
        <v>37.569681500000002</v>
      </c>
      <c r="E27">
        <v>126.9763031</v>
      </c>
      <c r="F27">
        <v>3728.84</v>
      </c>
      <c r="G27" s="6">
        <v>37000000000</v>
      </c>
      <c r="H27">
        <v>9922656.9120691679</v>
      </c>
      <c r="I27">
        <v>32802171.610146016</v>
      </c>
      <c r="J27" s="7">
        <v>8.1081081081081086E-2</v>
      </c>
    </row>
    <row r="28" spans="1:10">
      <c r="A28" t="str">
        <v>4Q 2023</v>
      </c>
      <c r="B28" t="str">
        <v>BBD</v>
      </c>
      <c r="C28" t="str">
        <v>Bundang Seohyun Building</v>
      </c>
      <c r="D28">
        <v>37.385131600000001</v>
      </c>
      <c r="E28">
        <v>127.1218981</v>
      </c>
      <c r="F28">
        <v>17439.25</v>
      </c>
      <c r="G28" s="6">
        <v>94600000000</v>
      </c>
      <c r="H28">
        <v>5424545.2069326378</v>
      </c>
      <c r="I28">
        <v>17932380.849364091</v>
      </c>
      <c r="J28" s="7">
        <v>4.9000000000000002E-2</v>
      </c>
    </row>
    <row r="29" spans="1:10">
      <c r="A29" t="str">
        <v>4Q 2023</v>
      </c>
      <c r="B29" t="str">
        <v>Others</v>
      </c>
      <c r="C29" t="str">
        <v>Musinsa Campus E1</v>
      </c>
      <c r="D29">
        <v>37.544468500000001</v>
      </c>
      <c r="E29">
        <v>127.0606162</v>
      </c>
      <c r="F29">
        <v>18511.580000000002</v>
      </c>
      <c r="G29" s="6">
        <v>111516000000</v>
      </c>
      <c r="H29">
        <v>6024121.1177003793</v>
      </c>
      <c r="I29">
        <v>19914449.975869026</v>
      </c>
      <c r="J29" s="7">
        <v>0</v>
      </c>
    </row>
    <row r="30" spans="1:10">
      <c r="A30" t="str">
        <v>4Q 2023</v>
      </c>
      <c r="B30" t="str">
        <v>Others</v>
      </c>
      <c r="C30" t="str">
        <v>Megabox Square Seongsu</v>
      </c>
      <c r="D30">
        <v>37.541882899999997</v>
      </c>
      <c r="E30">
        <v>127.04496899999999</v>
      </c>
      <c r="F30">
        <v>24388.35</v>
      </c>
      <c r="G30" s="6">
        <v>243500000000</v>
      </c>
      <c r="H30">
        <v>9984275.2789754122</v>
      </c>
      <c r="I30">
        <v>33005868.690827813</v>
      </c>
      <c r="J30" s="7">
        <v>1.2999999999999999E-2</v>
      </c>
    </row>
    <row r="31" spans="1:10">
      <c r="A31" t="str">
        <v>1Q 2024</v>
      </c>
      <c r="B31" t="str">
        <v>CBD</v>
      </c>
      <c r="C31" t="str">
        <v>Gwanghwamun G Tower</v>
      </c>
      <c r="D31">
        <v>37.572662100000002</v>
      </c>
      <c r="E31">
        <v>126.9810926</v>
      </c>
      <c r="F31">
        <v>34747.199999999997</v>
      </c>
      <c r="G31" s="6">
        <v>289000000000</v>
      </c>
      <c r="H31">
        <v>8317216.9268315155</v>
      </c>
      <c r="I31">
        <v>27494931.989525672</v>
      </c>
      <c r="J31" s="7">
        <v>5.1999999999999998E-2</v>
      </c>
    </row>
    <row r="32" spans="1:10">
      <c r="A32" t="str">
        <v>1Q 2024</v>
      </c>
      <c r="B32" t="str">
        <v>GBD</v>
      </c>
      <c r="C32" t="str">
        <v>Jamsil Sigma Tower</v>
      </c>
      <c r="D32">
        <v>37.514633099999998</v>
      </c>
      <c r="E32">
        <v>127.1025475</v>
      </c>
      <c r="F32">
        <v>27814</v>
      </c>
      <c r="G32" s="6">
        <v>165000000000</v>
      </c>
      <c r="H32">
        <v>5932264.3273171782</v>
      </c>
      <c r="I32">
        <v>19610791.164684884</v>
      </c>
      <c r="J32" s="7">
        <v>4.8000000000000001E-2</v>
      </c>
    </row>
    <row r="33" spans="1:10">
      <c r="A33" t="str">
        <v>1Q 2024</v>
      </c>
      <c r="B33" t="str">
        <v>GBD</v>
      </c>
      <c r="C33" t="str">
        <v>T412</v>
      </c>
      <c r="D33">
        <v>37.504769699999997</v>
      </c>
      <c r="E33">
        <v>127.0512719</v>
      </c>
      <c r="F33">
        <v>26388.79</v>
      </c>
      <c r="G33" s="6">
        <v>327700000000</v>
      </c>
      <c r="H33">
        <v>12418151.798547791</v>
      </c>
      <c r="I33">
        <v>41051741.482802622</v>
      </c>
      <c r="J33" s="7">
        <v>3.6999999999999998E-2</v>
      </c>
    </row>
    <row r="34" spans="1:10">
      <c r="A34" t="str">
        <v>1Q 2024</v>
      </c>
      <c r="B34" t="str">
        <v>CBD</v>
      </c>
      <c r="C34" t="str">
        <v>Seoulro Tower</v>
      </c>
      <c r="D34">
        <v>37.556506499999998</v>
      </c>
      <c r="E34">
        <v>126.9752051</v>
      </c>
      <c r="F34">
        <v>27897.5</v>
      </c>
      <c r="G34" s="6">
        <v>308000000000</v>
      </c>
      <c r="H34">
        <v>11040415.807868088</v>
      </c>
      <c r="I34">
        <v>36497242.340059802</v>
      </c>
      <c r="J34" s="7">
        <v>3.1E-2</v>
      </c>
    </row>
    <row r="35" spans="1:10">
      <c r="A35" t="str">
        <v>1Q 2024</v>
      </c>
      <c r="B35" t="str">
        <v>CBD</v>
      </c>
      <c r="C35" t="str">
        <v>Metro Tower</v>
      </c>
      <c r="D35">
        <v>37.556318900000001</v>
      </c>
      <c r="E35">
        <v>126.97448660000001</v>
      </c>
      <c r="F35">
        <v>41139.629999999997</v>
      </c>
      <c r="G35" s="6">
        <v>415814000000</v>
      </c>
      <c r="H35">
        <v>10107383.075637775</v>
      </c>
      <c r="I35">
        <v>33412836.613678589</v>
      </c>
      <c r="J35" s="7">
        <v>3.5000000000000003E-2</v>
      </c>
    </row>
    <row r="36" spans="1:10">
      <c r="A36" t="str">
        <v>1Q 2024</v>
      </c>
      <c r="B36" t="str">
        <v>CBD</v>
      </c>
      <c r="C36" t="str">
        <v>K Square City</v>
      </c>
      <c r="D36">
        <v>37.568554499999998</v>
      </c>
      <c r="E36">
        <v>126.9801781</v>
      </c>
      <c r="F36">
        <v>32730.6</v>
      </c>
      <c r="G36" s="6">
        <v>307000000000</v>
      </c>
      <c r="H36">
        <v>9379601.9626893494</v>
      </c>
      <c r="I36">
        <v>31006948.636989586</v>
      </c>
      <c r="J36" s="7">
        <v>4.2000000000000003E-2</v>
      </c>
    </row>
    <row r="37" spans="1:10">
      <c r="A37" t="str">
        <v>1Q 2024</v>
      </c>
      <c r="B37" t="str">
        <v>GBD</v>
      </c>
      <c r="C37" t="str">
        <v>Arc Place</v>
      </c>
      <c r="D37">
        <v>37.4997343</v>
      </c>
      <c r="E37">
        <v>127.03496370000001</v>
      </c>
      <c r="F37">
        <v>62725.31</v>
      </c>
      <c r="G37" s="6">
        <v>791699725000</v>
      </c>
      <c r="H37">
        <v>12621694.894772142</v>
      </c>
      <c r="I37">
        <v>41724611.222387254</v>
      </c>
      <c r="J37" s="7">
        <v>4.2999999999999997E-2</v>
      </c>
    </row>
    <row r="38" spans="1:10">
      <c r="A38" t="str">
        <v>1Q 2024</v>
      </c>
      <c r="B38" t="str">
        <v>GBD</v>
      </c>
      <c r="C38" t="str">
        <v>Icon Yeoksam</v>
      </c>
      <c r="D38">
        <v>37.502329600000003</v>
      </c>
      <c r="E38">
        <v>127.04447039999999</v>
      </c>
      <c r="F38">
        <v>19579.63</v>
      </c>
      <c r="G38" s="6">
        <v>204338000000</v>
      </c>
      <c r="H38">
        <v>10436254.41338779</v>
      </c>
      <c r="I38">
        <v>34500014.589711703</v>
      </c>
      <c r="J38" s="7">
        <v>0.04</v>
      </c>
    </row>
    <row r="39" spans="1:10">
      <c r="A39" t="str">
        <v>2Q 2024</v>
      </c>
      <c r="B39" t="str">
        <v>GBD</v>
      </c>
      <c r="C39" t="str">
        <v>DB Samsungdong Building</v>
      </c>
      <c r="D39">
        <v>37.509373400000001</v>
      </c>
      <c r="E39">
        <v>127.0576999</v>
      </c>
      <c r="F39">
        <v>8308.2000000000007</v>
      </c>
      <c r="G39" s="6">
        <v>85794175000</v>
      </c>
      <c r="H39">
        <v>10326445.559808381</v>
      </c>
      <c r="I39">
        <v>34137010.115069032</v>
      </c>
      <c r="J39" s="7">
        <v>0</v>
      </c>
    </row>
    <row r="40" spans="1:10">
      <c r="A40" t="str">
        <v>2Q 2024</v>
      </c>
      <c r="B40" t="str">
        <v>CBD</v>
      </c>
      <c r="C40" t="str">
        <v>Susong Square</v>
      </c>
      <c r="D40">
        <v>37.574605599999998</v>
      </c>
      <c r="E40">
        <v>126.9809788</v>
      </c>
      <c r="F40">
        <v>50313.04</v>
      </c>
      <c r="G40" s="6">
        <v>530000000000</v>
      </c>
      <c r="H40">
        <v>10534048.42959201</v>
      </c>
      <c r="I40">
        <v>34823300.593692593</v>
      </c>
      <c r="J40" s="7">
        <v>0</v>
      </c>
    </row>
    <row r="41" spans="1:10">
      <c r="A41" t="str">
        <v>2Q 2024</v>
      </c>
      <c r="B41" t="str">
        <v>GBD</v>
      </c>
      <c r="C41" t="str">
        <v>Seoulleung WeWork Tower</v>
      </c>
      <c r="D41">
        <v>37.506365899999999</v>
      </c>
      <c r="E41">
        <v>127.0536683</v>
      </c>
      <c r="F41">
        <v>15073.86</v>
      </c>
      <c r="G41" s="6">
        <v>147000000000</v>
      </c>
      <c r="H41">
        <v>9751981.2443528064</v>
      </c>
      <c r="I41">
        <v>32237954.526786141</v>
      </c>
      <c r="J41" s="7">
        <v>3.7999999999999999E-2</v>
      </c>
    </row>
    <row r="42" spans="1:10">
      <c r="A42" t="str">
        <v>2Q 2024</v>
      </c>
      <c r="B42" t="str">
        <v>GBD</v>
      </c>
      <c r="C42" t="str">
        <v>JW Tower (GS E&amp;C Seocho Tower)</v>
      </c>
      <c r="D42">
        <v>37.483231799999999</v>
      </c>
      <c r="E42">
        <v>127.0211903</v>
      </c>
      <c r="F42">
        <v>29784.83</v>
      </c>
      <c r="G42" s="6">
        <v>202300000000</v>
      </c>
      <c r="H42">
        <v>6792048.1668016901</v>
      </c>
      <c r="I42">
        <v>22453051.791079968</v>
      </c>
      <c r="J42" s="7">
        <v>3.2000000000000001E-2</v>
      </c>
    </row>
    <row r="43" spans="1:10">
      <c r="A43" t="str">
        <v>2Q 2024</v>
      </c>
      <c r="B43" t="str">
        <v>CBD</v>
      </c>
      <c r="C43" t="str">
        <v>Boyrung Building</v>
      </c>
      <c r="D43">
        <v>37.574549599999997</v>
      </c>
      <c r="E43">
        <v>126.9979579</v>
      </c>
      <c r="F43">
        <v>30600.799999999999</v>
      </c>
      <c r="G43" s="6">
        <v>131500000000</v>
      </c>
      <c r="H43">
        <v>4297273.2739013359</v>
      </c>
      <c r="I43">
        <v>14205862.062483754</v>
      </c>
      <c r="J43" s="7">
        <v>5.6000000000000001E-2</v>
      </c>
    </row>
    <row r="44" spans="1:10">
      <c r="A44" t="str">
        <v>3Q 2024</v>
      </c>
      <c r="B44" t="str">
        <v>GBD</v>
      </c>
      <c r="C44" t="str">
        <v>Golden Tower</v>
      </c>
      <c r="D44">
        <v>37.507745</v>
      </c>
      <c r="E44">
        <v>127.0555549</v>
      </c>
      <c r="F44">
        <v>40480.06</v>
      </c>
      <c r="G44" s="6">
        <v>440800000000</v>
      </c>
      <c r="H44">
        <v>10889311.922956636</v>
      </c>
      <c r="I44">
        <v>35997725.365145907</v>
      </c>
      <c r="J44" s="7">
        <v>2.4656781873865698E-2</v>
      </c>
    </row>
    <row r="45" spans="1:10">
      <c r="A45" t="str">
        <v>3Q 2024</v>
      </c>
      <c r="B45" t="str">
        <v>CBD</v>
      </c>
      <c r="C45" t="str">
        <v>City Square Building</v>
      </c>
      <c r="D45">
        <v>37.563094800000002</v>
      </c>
      <c r="E45">
        <v>126.9752101</v>
      </c>
      <c r="F45">
        <v>38250.910000000003</v>
      </c>
      <c r="G45" s="6">
        <v>428123000000</v>
      </c>
      <c r="H45">
        <v>11192491.891042592</v>
      </c>
      <c r="I45">
        <v>36999973.193529233</v>
      </c>
      <c r="J45" s="7">
        <v>4.2000000000000003E-2</v>
      </c>
    </row>
    <row r="46" spans="1:10">
      <c r="A46" t="str">
        <v>3Q 2024</v>
      </c>
      <c r="B46" t="str">
        <v>CBD</v>
      </c>
      <c r="C46" t="str">
        <v>Hanhwa HQ (Block 1: Office)</v>
      </c>
      <c r="D46">
        <v>37.5673772295102</v>
      </c>
      <c r="E46">
        <v>126.986576065264</v>
      </c>
      <c r="F46">
        <v>74365.289999999994</v>
      </c>
      <c r="G46" s="6">
        <v>808000000000</v>
      </c>
      <c r="H46">
        <v>10865284.059270125</v>
      </c>
      <c r="I46">
        <v>35918294.410810336</v>
      </c>
      <c r="J46" s="7">
        <v>4.7E-2</v>
      </c>
    </row>
    <row r="47" spans="1:10">
      <c r="A47" t="str">
        <v>3Q 2024</v>
      </c>
      <c r="B47" t="str">
        <v>BBD</v>
      </c>
      <c r="C47" t="str">
        <v>Samsung Fire &amp; Marine Insurance Building</v>
      </c>
      <c r="D47">
        <v>37.397459592628898</v>
      </c>
      <c r="E47">
        <v>127.11004804479499</v>
      </c>
      <c r="F47">
        <v>17320.849999999999</v>
      </c>
      <c r="G47" s="6">
        <v>125870000000</v>
      </c>
      <c r="H47">
        <v>7266964.3810782963</v>
      </c>
      <c r="I47">
        <v>24023022.747366272</v>
      </c>
      <c r="J47" s="7">
        <v>5.0999999999999997E-2</v>
      </c>
    </row>
    <row r="48" spans="1:10">
      <c r="A48" t="str">
        <v>3Q 2024</v>
      </c>
      <c r="B48" t="str">
        <v>CBD</v>
      </c>
      <c r="C48" t="str">
        <v>명동N빌딩 (명동SK네트웍스빌딩)</v>
      </c>
      <c r="D48">
        <v>37.565110300000001</v>
      </c>
      <c r="E48">
        <v>126.9828407</v>
      </c>
      <c r="F48">
        <v>13749.05</v>
      </c>
      <c r="G48" s="6">
        <v>160125000000</v>
      </c>
      <c r="H48">
        <v>11646259.196089912</v>
      </c>
      <c r="I48">
        <v>38500030.400297239</v>
      </c>
      <c r="J48" s="7">
        <v>4.2999999999999997E-2</v>
      </c>
    </row>
    <row r="49" spans="1:10">
      <c r="A49" t="str">
        <v>3Q 2024</v>
      </c>
      <c r="B49" t="str">
        <v>CBD</v>
      </c>
      <c r="C49" t="str">
        <v>Fastfive Tower</v>
      </c>
      <c r="D49">
        <v>37.567142407589799</v>
      </c>
      <c r="E49">
        <v>126.98114033364401</v>
      </c>
      <c r="F49">
        <v>15098.38</v>
      </c>
      <c r="G49" s="6">
        <v>119261000000</v>
      </c>
      <c r="H49">
        <v>7898926.9047407741</v>
      </c>
      <c r="I49">
        <v>26112155.056994293</v>
      </c>
      <c r="J49" s="7">
        <v>3.9E-2</v>
      </c>
    </row>
    <row r="50" spans="1:10">
      <c r="A50" t="str">
        <v>3Q 2024</v>
      </c>
      <c r="B50" t="str">
        <v>YBD</v>
      </c>
      <c r="C50" t="str">
        <v>Taeyoung HQ</v>
      </c>
      <c r="D50">
        <v>37.529874923419399</v>
      </c>
      <c r="E50">
        <v>126.925916908034</v>
      </c>
      <c r="F50">
        <v>40748.6</v>
      </c>
      <c r="G50" s="6">
        <v>230000000000</v>
      </c>
      <c r="H50">
        <v>5644365.6959993718</v>
      </c>
      <c r="I50">
        <v>18659060.15206404</v>
      </c>
      <c r="J50" s="7">
        <v>4.7E-2</v>
      </c>
    </row>
    <row r="51" spans="1:10">
      <c r="A51" t="str">
        <v>3Q 2024</v>
      </c>
      <c r="B51" t="str">
        <v>GBD</v>
      </c>
      <c r="C51" t="str">
        <v>The Asset Gangnam</v>
      </c>
      <c r="D51">
        <v>37.496031299999999</v>
      </c>
      <c r="E51">
        <v>127.0260825</v>
      </c>
      <c r="F51">
        <v>81117.279999999999</v>
      </c>
      <c r="G51" s="6">
        <v>1104200000000</v>
      </c>
      <c r="H51">
        <v>13612389.370057773</v>
      </c>
      <c r="I51">
        <v>44999634.281182729</v>
      </c>
      <c r="J51" s="7">
        <v>3.1108286846585762E-2</v>
      </c>
    </row>
    <row r="52" spans="1:10">
      <c r="A52" t="str">
        <v>3Q 2024</v>
      </c>
      <c r="B52" t="str">
        <v>YBD</v>
      </c>
      <c r="C52" t="str">
        <v>Mirae Asset Yeouido HQ</v>
      </c>
      <c r="D52">
        <v>37.522279099999999</v>
      </c>
      <c r="E52">
        <v>126.9296647</v>
      </c>
      <c r="F52">
        <v>39087.49</v>
      </c>
      <c r="G52" s="6">
        <v>372700000000</v>
      </c>
      <c r="H52">
        <v>9535020.0281471144</v>
      </c>
      <c r="I52">
        <v>31520727.365775585</v>
      </c>
      <c r="J52" s="7">
        <v>0</v>
      </c>
    </row>
    <row r="53" spans="1:10">
      <c r="A53" t="str">
        <v>4Q 2024</v>
      </c>
      <c r="B53" t="str">
        <v>CBD</v>
      </c>
      <c r="C53" t="str">
        <v>The Exchange Seoul + The Exchange Seoul Mall</v>
      </c>
      <c r="D53">
        <v>37.567877199999998</v>
      </c>
      <c r="E53">
        <v>126.978787</v>
      </c>
      <c r="F53">
        <v>31021.35</v>
      </c>
      <c r="G53" s="6">
        <v>247730000000</v>
      </c>
      <c r="H53">
        <v>7985790.4314286774</v>
      </c>
      <c r="I53">
        <v>26399307.211334471</v>
      </c>
      <c r="J53" s="7">
        <v>5.0999999999999997E-2</v>
      </c>
    </row>
    <row r="54" spans="1:10">
      <c r="A54" t="str">
        <v>4Q 2024</v>
      </c>
      <c r="B54" t="str">
        <v>CBD</v>
      </c>
      <c r="C54" t="str">
        <v>Jeongdong Building</v>
      </c>
      <c r="D54">
        <v>37.567598400000001</v>
      </c>
      <c r="E54">
        <v>126.97097220000001</v>
      </c>
      <c r="F54">
        <v>39343.15</v>
      </c>
      <c r="G54" s="6">
        <v>350000000000</v>
      </c>
      <c r="H54">
        <v>8896084.8330649678</v>
      </c>
      <c r="I54">
        <v>29408544.90269411</v>
      </c>
      <c r="J54" s="7">
        <v>4.3999999999999997E-2</v>
      </c>
    </row>
    <row r="55" spans="1:10">
      <c r="A55" t="str">
        <v>4Q 2024</v>
      </c>
      <c r="B55" t="str">
        <v>CBD</v>
      </c>
      <c r="C55" t="str">
        <v>D Tower Donuimun</v>
      </c>
      <c r="D55">
        <v>37.566734799999999</v>
      </c>
      <c r="E55">
        <v>126.9664061</v>
      </c>
      <c r="F55">
        <v>85453.540000000008</v>
      </c>
      <c r="G55" s="6">
        <v>895300000000</v>
      </c>
      <c r="H55">
        <v>10477038.166002249</v>
      </c>
      <c r="I55">
        <v>34634836.912404135</v>
      </c>
      <c r="J55" s="7">
        <v>3.7999999999999999E-2</v>
      </c>
    </row>
    <row r="56" spans="1:10">
      <c r="A56" t="str">
        <v>4Q 2024</v>
      </c>
      <c r="B56" t="str">
        <v>YBD</v>
      </c>
      <c r="C56" t="str">
        <v>NH Nonghyup Capital Building</v>
      </c>
      <c r="D56">
        <v>37.519439900000002</v>
      </c>
      <c r="E56">
        <v>126.9283921</v>
      </c>
      <c r="F56">
        <v>20700.61</v>
      </c>
      <c r="G56" s="6">
        <v>140500000000</v>
      </c>
      <c r="H56">
        <v>6787239.60308416</v>
      </c>
      <c r="I56">
        <v>22437155.712674912</v>
      </c>
      <c r="J56" s="7">
        <v>4.1000000000000002E-2</v>
      </c>
    </row>
    <row r="57" spans="1:10">
      <c r="A57" t="str">
        <v>4Q 2024</v>
      </c>
      <c r="B57" t="str">
        <v>GBD</v>
      </c>
      <c r="C57" t="str">
        <v>KOREIT Tower</v>
      </c>
      <c r="D57">
        <v>37.5004317</v>
      </c>
      <c r="E57">
        <v>127.0339962</v>
      </c>
      <c r="F57">
        <v>34983.65</v>
      </c>
      <c r="G57" s="6">
        <v>445900000000</v>
      </c>
      <c r="H57">
        <v>12745954.181453336</v>
      </c>
      <c r="I57">
        <v>42135385.723812677</v>
      </c>
      <c r="J57" s="7">
        <v>3.0890024467369364E-2</v>
      </c>
    </row>
    <row r="58" spans="1:10">
      <c r="A58" t="str">
        <v>4Q 2024</v>
      </c>
      <c r="B58" t="str">
        <v>GBD</v>
      </c>
      <c r="C58" t="str">
        <v>Yeoksam YK Building</v>
      </c>
      <c r="D58">
        <v>37.493112403830303</v>
      </c>
      <c r="E58">
        <v>127.04126781381601</v>
      </c>
      <c r="F58">
        <v>10875</v>
      </c>
      <c r="G58" s="6">
        <v>69500000000</v>
      </c>
      <c r="H58">
        <v>6390804.5977011491</v>
      </c>
      <c r="I58">
        <v>21126626.769259997</v>
      </c>
      <c r="J58" s="7">
        <v>0</v>
      </c>
    </row>
    <row r="59" spans="1:10">
      <c r="A59" t="str">
        <v>1Q 2025</v>
      </c>
      <c r="B59" t="str">
        <v>CBD</v>
      </c>
      <c r="C59" t="str">
        <v>Crystal Square</v>
      </c>
      <c r="D59">
        <v>37.567667627540203</v>
      </c>
      <c r="E59">
        <v>126.989289900814</v>
      </c>
      <c r="F59">
        <v>18423</v>
      </c>
      <c r="G59" s="6">
        <v>206800000000</v>
      </c>
      <c r="H59">
        <v>11225099.060956413</v>
      </c>
      <c r="I59">
        <v>37107765.490765005</v>
      </c>
      <c r="J59" s="7">
        <v>3.9E-2</v>
      </c>
    </row>
    <row r="60" spans="1:10">
      <c r="A60" t="str">
        <v>1Q 2025</v>
      </c>
      <c r="B60" t="str">
        <v>CBD</v>
      </c>
      <c r="C60" t="str">
        <v>Daeshin 343 Finance Building</v>
      </c>
      <c r="D60">
        <v>37.5651023</v>
      </c>
      <c r="E60">
        <v>126.9870123</v>
      </c>
      <c r="F60">
        <v>53369.33</v>
      </c>
      <c r="G60" s="6">
        <v>661913115325</v>
      </c>
      <c r="H60">
        <v>12402500</v>
      </c>
      <c r="I60">
        <v>41000000</v>
      </c>
      <c r="J60" s="7">
        <v>3.5000000000000003E-2</v>
      </c>
    </row>
    <row r="61" spans="1:10">
      <c r="A61" t="str">
        <v>1Q 2025</v>
      </c>
      <c r="B61" t="str">
        <v>CBD</v>
      </c>
      <c r="C61" t="str">
        <v>Seoul N Square (Pizer Tower)</v>
      </c>
      <c r="D61">
        <v>37.560467899999999</v>
      </c>
      <c r="E61">
        <v>126.9841691</v>
      </c>
      <c r="F61">
        <v>16367.6</v>
      </c>
      <c r="G61" s="6">
        <v>154500000000</v>
      </c>
      <c r="H61">
        <v>9439380.2390087731</v>
      </c>
      <c r="I61">
        <v>31204562.773582723</v>
      </c>
      <c r="J61" s="7">
        <v>3.5999999999999997E-2</v>
      </c>
    </row>
    <row r="62" spans="1:10">
      <c r="A62" t="str">
        <v>1Q 2025</v>
      </c>
      <c r="B62" t="str">
        <v>GBD</v>
      </c>
      <c r="C62" t="str">
        <v>Gangnam Finance Plaza</v>
      </c>
      <c r="D62">
        <v>37.505883699999998</v>
      </c>
      <c r="E62">
        <v>127.05215149999999</v>
      </c>
      <c r="F62">
        <v>24179.46</v>
      </c>
      <c r="G62" s="6">
        <v>276000000000</v>
      </c>
      <c r="H62">
        <v>11414646.977227779</v>
      </c>
      <c r="I62">
        <v>37734370.172653824</v>
      </c>
      <c r="J62" s="7">
        <v>4.1000000000000002E-2</v>
      </c>
    </row>
    <row r="63" spans="1:10">
      <c r="A63" t="str">
        <v>1Q 2025</v>
      </c>
      <c r="B63" t="str">
        <v>GBD</v>
      </c>
      <c r="C63" t="str">
        <v>363 Gangnam Tower</v>
      </c>
      <c r="D63">
        <v>37.4951044392621</v>
      </c>
      <c r="E63">
        <v>127.02844493228</v>
      </c>
      <c r="F63">
        <v>11384.43</v>
      </c>
      <c r="G63" s="6">
        <v>148600000000</v>
      </c>
      <c r="H63">
        <v>13052915.253552439</v>
      </c>
      <c r="I63">
        <v>43150133.069594845</v>
      </c>
      <c r="J63" s="7">
        <v>4.2000000000000003E-2</v>
      </c>
    </row>
    <row r="64" spans="1:10">
      <c r="A64" t="str">
        <v>1Q 2025</v>
      </c>
      <c r="B64" t="str">
        <v>CBD</v>
      </c>
      <c r="C64" t="str">
        <v>Namsan Square Building</v>
      </c>
      <c r="D64">
        <v>37.561641735959803</v>
      </c>
      <c r="E64">
        <v>126.99111458993799</v>
      </c>
      <c r="F64">
        <v>75252.45</v>
      </c>
      <c r="G64" s="6">
        <v>580479000000</v>
      </c>
      <c r="H64">
        <v>7713755.4989903988</v>
      </c>
      <c r="I64">
        <v>25500018.178480659</v>
      </c>
      <c r="J64" s="7">
        <v>4.4999999999999998E-2</v>
      </c>
    </row>
    <row r="65" spans="1:10">
      <c r="A65" t="str">
        <v>1Q 2025</v>
      </c>
      <c r="B65" t="str">
        <v>CBD</v>
      </c>
      <c r="C65" t="str">
        <v>Jeongan Building</v>
      </c>
      <c r="D65">
        <v>37.562874489517299</v>
      </c>
      <c r="E65">
        <v>126.971716755082</v>
      </c>
      <c r="F65">
        <v>15755.04</v>
      </c>
      <c r="G65" s="6">
        <v>131570000000</v>
      </c>
      <c r="H65">
        <v>8350978.4805370215</v>
      </c>
      <c r="I65">
        <v>27606540.431527346</v>
      </c>
      <c r="J65" s="7">
        <v>4.2999999999999997E-2</v>
      </c>
    </row>
    <row r="66" spans="1:10">
      <c r="A66" t="str">
        <v>1Q 2025</v>
      </c>
      <c r="B66" t="str">
        <v>YBD</v>
      </c>
      <c r="C66" t="str">
        <v>Yeouido Hyundai Motors Secuties Building</v>
      </c>
      <c r="D66">
        <v>37.524036003967403</v>
      </c>
      <c r="E66">
        <v>126.924529763252</v>
      </c>
      <c r="F66">
        <v>40439.980000000003</v>
      </c>
      <c r="G66" s="6">
        <v>354760000000</v>
      </c>
      <c r="H66">
        <v>8772506.8113287892</v>
      </c>
      <c r="I66">
        <v>29000022.516789384</v>
      </c>
      <c r="J66" s="7">
        <v>4.2000000000000003E-2</v>
      </c>
    </row>
    <row r="67" spans="1:10">
      <c r="A67" t="str">
        <v>1Q 2025</v>
      </c>
      <c r="B67" t="str">
        <v>BBD</v>
      </c>
      <c r="C67" t="str">
        <v>Pangyo Techno Valley USpace I (U706)</v>
      </c>
      <c r="D67">
        <v>37.400695444331099</v>
      </c>
      <c r="E67">
        <v>127.10698870959899</v>
      </c>
      <c r="F67">
        <v>136465.53</v>
      </c>
      <c r="G67" s="6">
        <v>0</v>
      </c>
      <c r="H67">
        <v>0</v>
      </c>
      <c r="I67">
        <v>0</v>
      </c>
      <c r="J67" s="7">
        <v>0</v>
      </c>
    </row>
    <row r="68" spans="1:10">
      <c r="A68" t="str">
        <v>1Q 2025</v>
      </c>
      <c r="B68" t="str">
        <v>Others</v>
      </c>
      <c r="C68" t="str">
        <v>Magok Onegrove</v>
      </c>
      <c r="D68">
        <v>0</v>
      </c>
      <c r="E68">
        <v>0</v>
      </c>
      <c r="F68">
        <v>313242.97520661156</v>
      </c>
      <c r="G68" s="6">
        <v>1579000000000</v>
      </c>
      <c r="H68">
        <v>5040815.3573388495</v>
      </c>
      <c r="I68">
        <v>16663852.420954874</v>
      </c>
      <c r="J68" s="7">
        <v>0</v>
      </c>
    </row>
    <row r="69" spans="1:10">
      <c r="A69" t="str">
        <v>1Q 2025</v>
      </c>
      <c r="B69" t="str">
        <v>Others</v>
      </c>
      <c r="C69" t="str">
        <v>Le West City (A,B)</v>
      </c>
      <c r="D69">
        <v>0</v>
      </c>
      <c r="E69">
        <v>0</v>
      </c>
      <c r="F69">
        <v>97705.78512396694</v>
      </c>
      <c r="G69" s="6">
        <v>534100000000</v>
      </c>
      <c r="H69">
        <v>5466411.2193801599</v>
      </c>
      <c r="I69">
        <v>18070780.890512925</v>
      </c>
      <c r="J69" s="7">
        <v>0</v>
      </c>
    </row>
    <row r="70" spans="1:10">
      <c r="A70" t="str">
        <v>1Q 2025</v>
      </c>
      <c r="B70" t="str">
        <v>YBD</v>
      </c>
      <c r="C70" t="str">
        <v>Shin Song Center Building</v>
      </c>
      <c r="D70">
        <v>37.523177662972003</v>
      </c>
      <c r="E70">
        <v>126.925450104387</v>
      </c>
      <c r="F70">
        <v>14938.043848362187</v>
      </c>
      <c r="G70" s="6">
        <v>93000000000</v>
      </c>
      <c r="H70">
        <v>6225714.7551616374</v>
      </c>
      <c r="I70">
        <v>20580875.223674837</v>
      </c>
      <c r="J70" s="7">
        <v>0</v>
      </c>
    </row>
    <row r="71" spans="1:10">
      <c r="A71" t="str">
        <v>1Q 2025</v>
      </c>
      <c r="B71" t="str">
        <v>GBD</v>
      </c>
      <c r="C71" t="str">
        <v>Hite Jinro Seocho HQ</v>
      </c>
      <c r="D71">
        <v>37.483541656397399</v>
      </c>
      <c r="E71">
        <v>127.017676100063</v>
      </c>
      <c r="F71">
        <v>27421</v>
      </c>
      <c r="G71" s="6">
        <v>240000000000</v>
      </c>
      <c r="H71">
        <v>8752416.0315086972</v>
      </c>
      <c r="I71">
        <v>28933606.715731237</v>
      </c>
      <c r="J71" s="7">
        <v>0</v>
      </c>
    </row>
    <row r="72" spans="1:10">
      <c r="A72" t="str">
        <v>1Q 2025</v>
      </c>
      <c r="B72" t="str">
        <v>Others</v>
      </c>
      <c r="C72" t="str">
        <v>G-Valley Biz Plaza</v>
      </c>
      <c r="D72">
        <v>37.484894693735399</v>
      </c>
      <c r="E72">
        <v>126.896539890577</v>
      </c>
      <c r="F72">
        <v>96639.42</v>
      </c>
      <c r="G72" s="6">
        <v>416000000000</v>
      </c>
      <c r="H72">
        <v>4304661.5966859078</v>
      </c>
      <c r="I72">
        <v>14230286.270036057</v>
      </c>
      <c r="J72" s="7">
        <v>0</v>
      </c>
    </row>
    <row r="73" spans="1:10">
      <c r="A73" t="str">
        <v>2Q 2025</v>
      </c>
      <c r="B73" t="str">
        <v>GBD</v>
      </c>
      <c r="C73" t="str">
        <v>Gangnam Taegwang Tower</v>
      </c>
      <c r="D73">
        <v>37.501022364370002</v>
      </c>
      <c r="E73">
        <v>127.039885329906</v>
      </c>
      <c r="F73">
        <v>17396.2</v>
      </c>
      <c r="G73" s="6">
        <v>175000000000</v>
      </c>
      <c r="H73">
        <v>10059668.203400742</v>
      </c>
      <c r="I73">
        <v>33255101.498845428</v>
      </c>
      <c r="J73" s="7">
        <v>3.9E-2</v>
      </c>
    </row>
    <row r="74" spans="1:10">
      <c r="A74" t="str">
        <v>2Q 2025</v>
      </c>
      <c r="B74" t="str">
        <v>CBD</v>
      </c>
      <c r="C74" t="str">
        <v>Crescendo Building</v>
      </c>
      <c r="D74">
        <v>37.570617760738301</v>
      </c>
      <c r="E74">
        <v>126.97296634437799</v>
      </c>
      <c r="F74">
        <v>54672.32</v>
      </c>
      <c r="G74" s="6">
        <v>556689000000</v>
      </c>
      <c r="H74">
        <v>10182282.368847709</v>
      </c>
      <c r="I74">
        <v>33660437.582967639</v>
      </c>
      <c r="J74" s="7">
        <v>4.1000000000000002E-2</v>
      </c>
    </row>
    <row r="75" spans="1:10">
      <c r="A75" t="str">
        <v>2Q 2025</v>
      </c>
      <c r="B75" t="str">
        <v>CBD</v>
      </c>
      <c r="C75" t="str">
        <v>Susong Square</v>
      </c>
      <c r="D75">
        <v>37.574167495790398</v>
      </c>
      <c r="E75">
        <v>126.98131515678099</v>
      </c>
      <c r="F75">
        <v>50313.04</v>
      </c>
      <c r="G75" s="6">
        <v>522546000000</v>
      </c>
      <c r="H75">
        <v>10385895.982433181</v>
      </c>
      <c r="I75">
        <v>34333540.437795639</v>
      </c>
      <c r="J75" s="7">
        <v>4.1000000000000002E-2</v>
      </c>
    </row>
    <row r="76" spans="1:10">
      <c r="A76" t="str">
        <v>2Q 2025</v>
      </c>
      <c r="B76" t="str">
        <v>CBD</v>
      </c>
      <c r="C76" t="str">
        <v>KDB Life Tower</v>
      </c>
      <c r="D76">
        <v>37.551671386373499</v>
      </c>
      <c r="E76">
        <v>126.97321004901499</v>
      </c>
      <c r="F76">
        <v>82434.52</v>
      </c>
      <c r="G76" s="6">
        <v>674404914000</v>
      </c>
      <c r="H76">
        <v>8181098.3311360329</v>
      </c>
      <c r="I76">
        <v>27044953.160780277</v>
      </c>
      <c r="J76" s="7">
        <v>3.9E-2</v>
      </c>
    </row>
    <row r="77" spans="1:10">
      <c r="A77" t="str">
        <v>2Q 2025</v>
      </c>
      <c r="B77" t="str">
        <v>HBD</v>
      </c>
      <c r="C77" t="str">
        <v>H-Square</v>
      </c>
      <c r="D77">
        <v>37.552025522414198</v>
      </c>
      <c r="E77">
        <v>126.916683666284</v>
      </c>
      <c r="F77">
        <v>13933.49</v>
      </c>
      <c r="G77" s="6">
        <v>87500000000</v>
      </c>
      <c r="H77">
        <v>6279833.6956498334</v>
      </c>
      <c r="I77">
        <v>20759780.812065564</v>
      </c>
      <c r="J77" s="7">
        <v>4.2999999999999997E-2</v>
      </c>
    </row>
    <row r="78" spans="1:10">
      <c r="A78" t="str">
        <v>2Q 2025</v>
      </c>
      <c r="B78" t="str">
        <v>BBD</v>
      </c>
      <c r="C78" t="str">
        <v>SD Biosensor Inc Bundang Building</v>
      </c>
      <c r="D78">
        <v>37.387402523903603</v>
      </c>
      <c r="E78">
        <v>127.12495970275199</v>
      </c>
      <c r="F78">
        <v>13815.41</v>
      </c>
      <c r="G78" s="6">
        <v>100000000000</v>
      </c>
      <c r="H78">
        <v>7238294.0499051418</v>
      </c>
      <c r="I78">
        <v>23928244.793074854</v>
      </c>
      <c r="J78" s="7">
        <v>0</v>
      </c>
    </row>
    <row r="79" spans="1:10">
      <c r="A79" t="str">
        <v>2Q 2025</v>
      </c>
      <c r="B79" t="str">
        <v>GBD</v>
      </c>
      <c r="C79" t="str">
        <v>Scale Tower (Tiger 318)</v>
      </c>
      <c r="D79">
        <v>37.494219000000001</v>
      </c>
      <c r="E79">
        <v>127.0303536</v>
      </c>
      <c r="F79">
        <v>24699.45</v>
      </c>
      <c r="G79" s="6">
        <v>253200000000</v>
      </c>
      <c r="H79">
        <v>5125620.2061179494</v>
      </c>
      <c r="I79">
        <v>33888398.056978181</v>
      </c>
      <c r="J79" s="7">
        <v>0</v>
      </c>
    </row>
    <row r="80" spans="1:10">
      <c r="A80" t="str">
        <v>2Q 2025</v>
      </c>
      <c r="B80" t="str">
        <v>GBD</v>
      </c>
      <c r="C80" t="str">
        <v>BNK Digital Tower</v>
      </c>
      <c r="D80">
        <v>37.496645999999998</v>
      </c>
      <c r="E80">
        <v>127.02512919999999</v>
      </c>
      <c r="F80">
        <v>37182.239999999998</v>
      </c>
      <c r="G80" s="6">
        <v>457800000000</v>
      </c>
      <c r="H80">
        <v>12312329.757432582</v>
      </c>
      <c r="I80">
        <v>40701916.553496137</v>
      </c>
      <c r="J80" s="7">
        <v>3.5999999999999997E-2</v>
      </c>
    </row>
    <row r="81" spans="1:10">
      <c r="A81" t="str">
        <v>2Q 2025</v>
      </c>
      <c r="B81" t="str">
        <v>GBD</v>
      </c>
      <c r="C81" t="str">
        <v>Seoul International (SI) Tower (ex ING Tower)</v>
      </c>
      <c r="D81">
        <v>37.501592956618801</v>
      </c>
      <c r="E81">
        <v>127.037736319636</v>
      </c>
      <c r="F81">
        <v>66202.39</v>
      </c>
      <c r="G81" s="6">
        <v>897133000000</v>
      </c>
      <c r="H81">
        <v>13551368.764783265</v>
      </c>
      <c r="I81">
        <v>44797913.272010796</v>
      </c>
      <c r="J81" s="7">
        <v>3.5000000000000003E-2</v>
      </c>
    </row>
    <row r="82" spans="1:10">
      <c r="A82" t="str">
        <v>2Q 2025</v>
      </c>
      <c r="B82" t="str">
        <v>GBD</v>
      </c>
      <c r="C82" t="str">
        <v>Gangnam N Tower</v>
      </c>
      <c r="D82">
        <v>37.500117846406397</v>
      </c>
      <c r="E82">
        <v>127.03220096278</v>
      </c>
      <c r="F82">
        <v>25563.154999999999</v>
      </c>
      <c r="G82" s="6">
        <v>680500000000</v>
      </c>
      <c r="H82">
        <v>13310172.394604657</v>
      </c>
      <c r="I82">
        <v>44000569.899519525</v>
      </c>
      <c r="J82" s="7">
        <v>3.1E-2</v>
      </c>
    </row>
    <row r="83" spans="1:10">
      <c r="A83" t="str">
        <v>2Q 2025</v>
      </c>
      <c r="B83" t="str">
        <v>CBD</v>
      </c>
      <c r="C83" t="str">
        <v>CJ Cheil Building</v>
      </c>
      <c r="D83">
        <v>37.563941999999997</v>
      </c>
      <c r="E83">
        <v>127.00327780000001</v>
      </c>
      <c r="F83">
        <v>80385.289999999994</v>
      </c>
      <c r="G83" s="6">
        <v>658000000000</v>
      </c>
      <c r="H83">
        <v>8185577.2368302718</v>
      </c>
      <c r="I83">
        <v>27059759.460595939</v>
      </c>
      <c r="J83" s="7">
        <v>0</v>
      </c>
    </row>
    <row r="84" spans="1:10">
      <c r="A84" t="str">
        <v>3Q 2025</v>
      </c>
      <c r="B84" t="str">
        <v>CBD</v>
      </c>
      <c r="C84" t="str">
        <v>Hyundai Group Yeonji-dong HQ</v>
      </c>
      <c r="D84">
        <v>37.575031765843903</v>
      </c>
      <c r="E84">
        <v>127.000524809065</v>
      </c>
      <c r="F84">
        <v>52476.31</v>
      </c>
      <c r="G84" s="6">
        <v>450000000000</v>
      </c>
      <c r="H84">
        <v>8575298.0725969486</v>
      </c>
      <c r="I84">
        <v>28348092.801973388</v>
      </c>
      <c r="J84" s="7">
        <v>0</v>
      </c>
    </row>
    <row r="85" spans="1:10">
      <c r="A85" t="str">
        <v>3Q 2025</v>
      </c>
      <c r="B85" t="str">
        <v>CBD</v>
      </c>
      <c r="C85" t="str">
        <v>Pacific Tower</v>
      </c>
      <c r="D85">
        <v>37.561308954926297</v>
      </c>
      <c r="E85">
        <v>126.97303048702599</v>
      </c>
      <c r="F85">
        <v>59500.43</v>
      </c>
      <c r="G85" s="6">
        <v>580000000000</v>
      </c>
      <c r="H85">
        <v>9747828.7131706439</v>
      </c>
      <c r="I85">
        <v>32224227.150977336</v>
      </c>
      <c r="J85" s="7">
        <v>4.2000000000000003E-2</v>
      </c>
    </row>
    <row r="86" spans="1:10">
      <c r="A86" t="str">
        <v>3Q 2025</v>
      </c>
      <c r="B86" t="str">
        <v>GBD</v>
      </c>
      <c r="C86" t="str">
        <v>NC Tower 1</v>
      </c>
      <c r="D86">
        <v>37.507815800000003</v>
      </c>
      <c r="E86">
        <v>127.0581852</v>
      </c>
      <c r="F86">
        <v>30912.95</v>
      </c>
      <c r="G86" s="6">
        <v>443500000000</v>
      </c>
      <c r="H86">
        <v>14346738.179306731</v>
      </c>
      <c r="I86">
        <v>47427233.650600769</v>
      </c>
      <c r="J86" s="7">
        <v>3.4000000000000002E-2</v>
      </c>
    </row>
    <row r="87" spans="1:10">
      <c r="A87" t="str">
        <v>3Q 2025</v>
      </c>
      <c r="B87" t="str">
        <v>CBD</v>
      </c>
      <c r="C87" t="str">
        <v>Ferrum Tower</v>
      </c>
      <c r="D87">
        <v>37.566921100000002</v>
      </c>
      <c r="E87">
        <v>126.9839643</v>
      </c>
      <c r="F87">
        <v>55694.62</v>
      </c>
      <c r="G87" s="6">
        <v>645060000000</v>
      </c>
      <c r="H87">
        <v>11582088.180150973</v>
      </c>
      <c r="I87">
        <v>38287894.810416438</v>
      </c>
      <c r="J87" s="7">
        <v>3.6999999999999998E-2</v>
      </c>
    </row>
    <row r="88" spans="1:10">
      <c r="A88" t="str">
        <v>3Q 2025</v>
      </c>
      <c r="B88" t="str">
        <v>GBD</v>
      </c>
      <c r="C88" t="str">
        <v>WeWork Building</v>
      </c>
      <c r="D88">
        <v>37.507627599999999</v>
      </c>
      <c r="E88">
        <v>127.0577131</v>
      </c>
      <c r="F88">
        <v>20126.439999999999</v>
      </c>
      <c r="G88" s="6">
        <v>212500000000</v>
      </c>
      <c r="H88">
        <v>10558250.738829123</v>
      </c>
      <c r="I88">
        <v>34903308.227534287</v>
      </c>
      <c r="J88" s="7">
        <v>0.03</v>
      </c>
    </row>
    <row r="89" spans="1:10">
      <c r="A89" t="str">
        <v>3Q 2025</v>
      </c>
      <c r="B89" t="str">
        <v>GBD</v>
      </c>
      <c r="C89" t="str">
        <v>Samwon Tower (B2-5 &amp; 11-20 FL)</v>
      </c>
      <c r="D89">
        <v>37.498746400000002</v>
      </c>
      <c r="E89">
        <v>127.03169</v>
      </c>
      <c r="F89">
        <v>18953.537522400002</v>
      </c>
      <c r="G89" s="6">
        <v>200700000000</v>
      </c>
      <c r="H89">
        <v>10589052.295003252</v>
      </c>
      <c r="I89">
        <v>35005131.553729758</v>
      </c>
      <c r="J89" s="7">
        <v>3.7999999999999999E-2</v>
      </c>
    </row>
    <row r="90" spans="1:10">
      <c r="A90" t="str">
        <v>3Q 2025</v>
      </c>
      <c r="B90" t="str">
        <v>GBD</v>
      </c>
      <c r="C90" t="str">
        <v>Tower730</v>
      </c>
      <c r="D90">
        <v>37.515784799999999</v>
      </c>
      <c r="E90">
        <v>127.0990948</v>
      </c>
      <c r="F90">
        <v>80728.63</v>
      </c>
      <c r="G90" s="6">
        <v>870000000000</v>
      </c>
      <c r="H90">
        <v>10776845.835238378</v>
      </c>
      <c r="I90">
        <v>35625936.645416126</v>
      </c>
      <c r="J90" s="7">
        <v>2.5999999999999999E-2</v>
      </c>
    </row>
    <row r="91" spans="1:10">
      <c r="A91" t="str">
        <v>3Q 2025</v>
      </c>
      <c r="B91" t="str">
        <v>CBD</v>
      </c>
      <c r="C91" t="str">
        <v>Namsan N Tower</v>
      </c>
      <c r="D91">
        <v>37.561836242675803</v>
      </c>
      <c r="E91">
        <v>126.98968505859401</v>
      </c>
      <c r="F91">
        <v>20867.7</v>
      </c>
      <c r="G91" s="6">
        <v>226999999999.89999</v>
      </c>
      <c r="H91">
        <v>10878055.559544176</v>
      </c>
      <c r="I91">
        <v>35960514.246427022</v>
      </c>
      <c r="J91" s="7">
        <v>0</v>
      </c>
    </row>
    <row r="92" spans="1:10">
      <c r="A92" t="str">
        <v>4Q 2025</v>
      </c>
      <c r="B92" t="str">
        <v>CBD</v>
      </c>
      <c r="C92" t="str">
        <v>Centerpoint Gwanghwamun</v>
      </c>
      <c r="D92">
        <v>0</v>
      </c>
      <c r="E92">
        <v>0</v>
      </c>
      <c r="F92">
        <v>38946.519999999997</v>
      </c>
      <c r="G92" s="6">
        <v>432000000000</v>
      </c>
      <c r="H92">
        <v>11092133.520530205</v>
      </c>
      <c r="I92">
        <v>36668209.985223822</v>
      </c>
      <c r="J92" s="7">
        <v>3.6999999999999998E-2</v>
      </c>
    </row>
    <row r="93" spans="1:10">
      <c r="A93" t="str">
        <v>4Q 2025</v>
      </c>
      <c r="B93" t="str">
        <v>CBD</v>
      </c>
      <c r="C93" t="str">
        <v>Heungkuk Life Insurance Building</v>
      </c>
      <c r="D93">
        <v>0</v>
      </c>
      <c r="E93">
        <v>0</v>
      </c>
      <c r="F93">
        <v>72054.16</v>
      </c>
      <c r="G93" s="6">
        <v>719300000000</v>
      </c>
      <c r="H93">
        <v>9982768.517459644</v>
      </c>
      <c r="I93">
        <v>33000887.661023621</v>
      </c>
      <c r="J93" s="7">
        <v>0</v>
      </c>
    </row>
    <row r="94" spans="1:10">
      <c r="A94" t="str">
        <v>4Q 2025</v>
      </c>
      <c r="B94" t="str">
        <v>GBD</v>
      </c>
      <c r="C94" t="str">
        <v>Samsung Dong Building (Interpark Building)</v>
      </c>
      <c r="D94">
        <v>37.5079944172601</v>
      </c>
      <c r="E94">
        <v>127.05649134637601</v>
      </c>
      <c r="F94">
        <v>30675.55</v>
      </c>
      <c r="G94" s="6">
        <v>350000000000</v>
      </c>
      <c r="H94">
        <v>11409738.374699069</v>
      </c>
      <c r="I94">
        <v>37718143.387434937</v>
      </c>
      <c r="J94" s="7">
        <v>3.9E-2</v>
      </c>
    </row>
    <row r="95" spans="1:10">
      <c r="A95" t="str">
        <v>4Q 2025</v>
      </c>
      <c r="B95" t="str">
        <v>GBD</v>
      </c>
      <c r="C95" t="str">
        <v>AP Tower (2 other land lots)</v>
      </c>
      <c r="D95">
        <v>37.501432800000003</v>
      </c>
      <c r="E95">
        <v>127.04038199999999</v>
      </c>
      <c r="F95">
        <v>16785.560000000001</v>
      </c>
      <c r="G95" s="6">
        <v>350000000000</v>
      </c>
      <c r="H95">
        <v>20851255.483880192</v>
      </c>
      <c r="I95">
        <v>68929770.194645256</v>
      </c>
      <c r="J95" s="7">
        <v>0</v>
      </c>
    </row>
    <row r="96" spans="1:10">
      <c r="A96" t="str">
        <v>4Q 2025</v>
      </c>
      <c r="B96" t="str">
        <v>CBD</v>
      </c>
      <c r="C96" t="str">
        <v>Signature Tower</v>
      </c>
      <c r="D96">
        <v>37.567599999999999</v>
      </c>
      <c r="E96">
        <v>126.9881</v>
      </c>
      <c r="F96">
        <v>99997.1</v>
      </c>
      <c r="G96" s="6">
        <v>1034600000000</v>
      </c>
      <c r="H96">
        <v>10346300.042701237</v>
      </c>
      <c r="I96">
        <v>34202644.769260287</v>
      </c>
      <c r="J96" s="7">
        <v>4.7E-2</v>
      </c>
    </row>
    <row r="97" spans="1:10">
      <c r="A97" t="str">
        <v>4Q 2025</v>
      </c>
      <c r="B97" t="str">
        <v>CBD</v>
      </c>
      <c r="C97" t="str">
        <v>Premier Place</v>
      </c>
      <c r="D97">
        <v>37.568873000000004</v>
      </c>
      <c r="E97">
        <v>126.978205</v>
      </c>
      <c r="F97">
        <v>16444.2</v>
      </c>
      <c r="G97" s="6">
        <v>167000000000</v>
      </c>
      <c r="H97">
        <v>10155556.366378419</v>
      </c>
      <c r="I97">
        <v>33572087.161581554</v>
      </c>
      <c r="J97" s="7">
        <v>0</v>
      </c>
    </row>
    <row r="98" spans="1:10">
      <c r="A98" t="str">
        <v>4Q 2025</v>
      </c>
      <c r="B98" t="str">
        <v>GBD</v>
      </c>
      <c r="C98" t="str">
        <v>S1310 Building</v>
      </c>
      <c r="D98">
        <v>37.500419616699197</v>
      </c>
      <c r="E98">
        <v>127.02418518066401</v>
      </c>
      <c r="F98">
        <v>13752.85</v>
      </c>
      <c r="G98" s="6">
        <v>179300000000</v>
      </c>
      <c r="H98">
        <v>13037297.723744532</v>
      </c>
      <c r="I98">
        <v>43098504.871882759</v>
      </c>
      <c r="J98" s="7">
        <v>0</v>
      </c>
    </row>
    <row r="99" spans="1:10">
      <c r="A99" t="str">
        <v>4Q 2025</v>
      </c>
      <c r="B99" t="str">
        <v>CBD</v>
      </c>
      <c r="C99" t="str">
        <v>One X</v>
      </c>
      <c r="D99">
        <v>37.567684173583999</v>
      </c>
      <c r="E99">
        <v>126.991943359375</v>
      </c>
      <c r="F99">
        <v>172100</v>
      </c>
      <c r="G99" s="6">
        <v>0</v>
      </c>
      <c r="H99">
        <v>0</v>
      </c>
      <c r="I99">
        <v>0</v>
      </c>
      <c r="J99" s="7">
        <v>0</v>
      </c>
    </row>
    <row r="100" spans="1:10">
      <c r="A100" t="str">
        <v>4Q 2025</v>
      </c>
      <c r="B100" t="str">
        <v>GBD</v>
      </c>
      <c r="C100" t="str">
        <v>505 Tower</v>
      </c>
      <c r="D100">
        <v>37.507694000000001</v>
      </c>
      <c r="E100">
        <v>127.057343</v>
      </c>
      <c r="F100">
        <v>15453.23</v>
      </c>
      <c r="G100" s="6">
        <v>203000000000</v>
      </c>
      <c r="H100">
        <v>13136412.258149268</v>
      </c>
      <c r="I100">
        <v>43426156.225286834</v>
      </c>
      <c r="J100" s="7">
        <v>0</v>
      </c>
    </row>
    <row r="101" spans="1:10">
      <c r="A101" t="str">
        <v>4Q 2025</v>
      </c>
      <c r="B101" t="str">
        <v>SBD</v>
      </c>
      <c r="C101" t="str">
        <v>Factorial Seongsu</v>
      </c>
      <c r="D101">
        <v>37.544189453125</v>
      </c>
      <c r="E101">
        <v>127.05443572998</v>
      </c>
      <c r="F101">
        <v>21059.759999999998</v>
      </c>
      <c r="G101" s="6">
        <v>254823096000</v>
      </c>
      <c r="H101">
        <v>12100000</v>
      </c>
      <c r="I101">
        <v>40000000.000000007</v>
      </c>
      <c r="J101" s="7">
        <v>0</v>
      </c>
    </row>
    <row r="102" spans="1:10">
      <c r="A102" t="str">
        <v>4Q 2025</v>
      </c>
      <c r="B102" t="str">
        <v>YBD</v>
      </c>
      <c r="C102" t="str">
        <v>Citi Plaza</v>
      </c>
      <c r="D102">
        <v>37.524061000000003</v>
      </c>
      <c r="E102">
        <v>126.92599800000001</v>
      </c>
      <c r="F102">
        <v>14861.48</v>
      </c>
      <c r="G102" s="6">
        <v>99000000000</v>
      </c>
      <c r="H102">
        <v>6661516.8879546318</v>
      </c>
      <c r="I102">
        <v>22021543.431254983</v>
      </c>
      <c r="J102" s="7">
        <v>5.4436923357863438E-2</v>
      </c>
    </row>
    <row r="103" spans="1:10">
      <c r="A103" t="str">
        <v>4Q 2025</v>
      </c>
      <c r="B103" t="str">
        <v>CBD</v>
      </c>
      <c r="C103" t="str">
        <v>LX Gwanghwamun Building</v>
      </c>
      <c r="D103">
        <v>37.569347381591797</v>
      </c>
      <c r="E103">
        <v>126.971509575844</v>
      </c>
      <c r="F103">
        <v>51312.37</v>
      </c>
      <c r="G103" s="6">
        <v>512000000000</v>
      </c>
      <c r="H103">
        <v>9978100.7971372195</v>
      </c>
      <c r="I103">
        <v>32985457.180618912</v>
      </c>
      <c r="J103" s="7">
        <v>0</v>
      </c>
    </row>
    <row r="104" spans="1:10">
      <c r="A104" t="str">
        <v>4Q 2025</v>
      </c>
      <c r="B104" t="str">
        <v>BBD</v>
      </c>
      <c r="C104" t="str">
        <v>Humax Village Building</v>
      </c>
      <c r="D104">
        <v>0</v>
      </c>
      <c r="E104">
        <v>0</v>
      </c>
      <c r="F104">
        <v>44594.71</v>
      </c>
      <c r="G104" s="6">
        <v>280000000000</v>
      </c>
      <c r="H104">
        <v>6278771.6300879633</v>
      </c>
      <c r="I104">
        <v>20756269.851530459</v>
      </c>
      <c r="J104" s="7">
        <v>0</v>
      </c>
    </row>
    <row r="105" spans="1:10">
      <c r="A105">
        <v>0</v>
      </c>
      <c r="B105" t="str">
        <v>BBD</v>
      </c>
      <c r="C105" t="str">
        <v>Bundang Doosan Tower</v>
      </c>
      <c r="D105">
        <v>0</v>
      </c>
      <c r="E105">
        <v>0</v>
      </c>
      <c r="F105">
        <v>128550.56</v>
      </c>
      <c r="G105" s="6">
        <v>790000000000</v>
      </c>
      <c r="H105">
        <v>6145441.917950416</v>
      </c>
      <c r="I105">
        <v>20315510.47256336</v>
      </c>
      <c r="J105" s="7">
        <v>0</v>
      </c>
    </row>
    <row r="106" spans="1:10">
      <c r="A106" t="str">
        <v>1Q 2026</v>
      </c>
      <c r="B106" t="str">
        <v>GBD</v>
      </c>
      <c r="C106" t="str">
        <v>K Square Gangnam Ⅱ</v>
      </c>
      <c r="D106">
        <v>37.496250199999999</v>
      </c>
      <c r="E106">
        <v>127.02881259999999</v>
      </c>
      <c r="F106">
        <v>21942.18</v>
      </c>
      <c r="G106" s="6">
        <v>355000000000</v>
      </c>
      <c r="H106">
        <v>16178884.686936302</v>
      </c>
      <c r="I106">
        <v>53483916.320450589</v>
      </c>
      <c r="J106" s="7">
        <v>3.4000000000000002E-2</v>
      </c>
    </row>
    <row r="107" spans="1:10">
      <c r="A107" t="str">
        <v>1Q 2026</v>
      </c>
      <c r="B107" t="str">
        <v>CBD</v>
      </c>
      <c r="C107" t="str">
        <v>Seoul Square</v>
      </c>
      <c r="D107">
        <v>37.5554652</v>
      </c>
      <c r="E107">
        <v>126.9737482</v>
      </c>
      <c r="F107">
        <v>132806.04999999999</v>
      </c>
      <c r="G107" s="6">
        <v>1288477030303.1001</v>
      </c>
      <c r="H107">
        <v>0</v>
      </c>
      <c r="I107">
        <v>0</v>
      </c>
      <c r="J107" s="7">
        <v>0</v>
      </c>
    </row>
    <row r="108" spans="1:10">
      <c r="A108" t="str">
        <v>1Q 2026</v>
      </c>
      <c r="B108" t="str">
        <v>GBD</v>
      </c>
      <c r="C108" t="str">
        <v>Cykan Tower</v>
      </c>
      <c r="D108">
        <v>37.513385772705099</v>
      </c>
      <c r="E108">
        <v>127.035026550293</v>
      </c>
      <c r="F108">
        <v>12035.53</v>
      </c>
      <c r="G108" s="6">
        <v>195000000000</v>
      </c>
      <c r="H108">
        <v>16202028.493967444</v>
      </c>
      <c r="I108">
        <v>53560424.773446098</v>
      </c>
      <c r="J108" s="7">
        <v>0</v>
      </c>
    </row>
  </sheetData>
  <phoneticPr fontId="3" type="noConversion"/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8c970d48-f7b9-48b0-9606-072fbefb514d}" enabled="1" method="Standard" siteId="{049e3382-8cdc-477b-9317-951b04689668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Brainstorm</vt:lpstr>
      <vt:lpstr>historical_supply</vt:lpstr>
      <vt:lpstr>existing_supply</vt:lpstr>
      <vt:lpstr>future_supply</vt:lpstr>
      <vt:lpstr>vacancy</vt:lpstr>
      <vt:lpstr>net_absorption</vt:lpstr>
      <vt:lpstr>rent</vt:lpstr>
      <vt:lpstr>capital_value</vt:lpstr>
      <vt:lpstr>cap_rate</vt:lpstr>
      <vt:lpstr>capital_markets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Na, Jordan</cp:lastModifiedBy>
  <dcterms:created xsi:type="dcterms:W3CDTF">2026-04-01T03:20:45Z</dcterms:created>
  <dcterms:modified xsi:type="dcterms:W3CDTF">2026-04-01T09:12:06Z</dcterms:modified>
</cp:coreProperties>
</file>